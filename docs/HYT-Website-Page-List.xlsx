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age List" sheetId="2" state="visible" r:id="rId2"/>
    <sheet xmlns:r="http://schemas.openxmlformats.org/officeDocument/2006/relationships" name="Menu Structure" sheetId="3" state="visible" r:id="rId3"/>
    <sheet xmlns:r="http://schemas.openxmlformats.org/officeDocument/2006/relationships" name="Footer Links" sheetId="4" state="visible" r:id="rId4"/>
    <sheet xmlns:r="http://schemas.openxmlformats.org/officeDocument/2006/relationships" name="Languages" sheetId="5" state="visible" r:id="rId5"/>
    <sheet xmlns:r="http://schemas.openxmlformats.org/officeDocument/2006/relationships" name="301 Redirects" sheetId="6" state="visible" r:id="rId6"/>
  </sheets>
  <definedNames>
    <definedName name="_xlnm._FilterDatabase" localSheetId="1" hidden="1">'Page List'!$A$1:$O$79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i val="1"/>
      <sz val="9"/>
    </font>
    <font>
      <name val="Arial"/>
      <b val="1"/>
      <color rgb="00184A72"/>
      <sz val="14"/>
    </font>
    <font>
      <name val="Arial"/>
      <color theme="1"/>
      <sz val="11"/>
    </font>
  </fonts>
  <fills count="7">
    <fill>
      <patternFill/>
    </fill>
    <fill>
      <patternFill patternType="gray125"/>
    </fill>
    <fill>
      <patternFill patternType="solid">
        <fgColor rgb="00184A72"/>
      </patternFill>
    </fill>
    <fill>
      <patternFill patternType="solid">
        <fgColor rgb="00F58220"/>
      </patternFill>
    </fill>
    <fill>
      <patternFill patternType="solid">
        <fgColor rgb="00DCE8F3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2">
    <border>
      <left/>
      <right/>
      <top/>
      <bottom/>
      <diagonal/>
    </border>
    <border>
      <left style="thin">
        <color rgb="00D0D5DB"/>
      </left>
      <right style="thin">
        <color rgb="00D0D5DB"/>
      </right>
      <top style="thin">
        <color rgb="00D0D5DB"/>
      </top>
      <bottom style="thin">
        <color rgb="00D0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0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2" fillId="6" borderId="1" pivotButton="0" quotePrefix="0" xfId="0"/>
    <xf numFmtId="0" fontId="1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1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hytengineering.com/" TargetMode="External" Id="rId1"/><Relationship Type="http://schemas.openxmlformats.org/officeDocument/2006/relationships/hyperlink" Target="https://hytengineering.com/company/" TargetMode="External" Id="rId2"/><Relationship Type="http://schemas.openxmlformats.org/officeDocument/2006/relationships/hyperlink" Target="https://hytengineering.com/group-companies/" TargetMode="External" Id="rId3"/><Relationship Type="http://schemas.openxmlformats.org/officeDocument/2006/relationships/hyperlink" Target="https://hytengineering.com/history/" TargetMode="External" Id="rId4"/><Relationship Type="http://schemas.openxmlformats.org/officeDocument/2006/relationships/hyperlink" Target="https://hytengineering.com/quality/" TargetMode="External" Id="rId5"/><Relationship Type="http://schemas.openxmlformats.org/officeDocument/2006/relationships/hyperlink" Target="https://hytengineering.com/certifications/" TargetMode="External" Id="rId6"/><Relationship Type="http://schemas.openxmlformats.org/officeDocument/2006/relationships/hyperlink" Target="https://hytengineering.com/awards/" TargetMode="External" Id="rId7"/><Relationship Type="http://schemas.openxmlformats.org/officeDocument/2006/relationships/hyperlink" Target="https://hytengineering.com/clientele/" TargetMode="External" Id="rId8"/><Relationship Type="http://schemas.openxmlformats.org/officeDocument/2006/relationships/hyperlink" Target="https://hytengineering.com/csr/" TargetMode="External" Id="rId9"/><Relationship Type="http://schemas.openxmlformats.org/officeDocument/2006/relationships/hyperlink" Target="https://hytengineering.com/compliance/" TargetMode="External" Id="rId10"/><Relationship Type="http://schemas.openxmlformats.org/officeDocument/2006/relationships/hyperlink" Target="https://hytengineering.com/compliance/code-of-conduct/" TargetMode="External" Id="rId11"/><Relationship Type="http://schemas.openxmlformats.org/officeDocument/2006/relationships/hyperlink" Target="https://hytengineering.com/compliance/guidelines/" TargetMode="External" Id="rId12"/><Relationship Type="http://schemas.openxmlformats.org/officeDocument/2006/relationships/hyperlink" Target="https://hytengineering.com/compliance/policy-statement/" TargetMode="External" Id="rId13"/><Relationship Type="http://schemas.openxmlformats.org/officeDocument/2006/relationships/hyperlink" Target="https://hytengineering.com/products/" TargetMode="External" Id="rId14"/><Relationship Type="http://schemas.openxmlformats.org/officeDocument/2006/relationships/hyperlink" Target="https://hytengineering.com/surface-wheel-lathe/" TargetMode="External" Id="rId15"/><Relationship Type="http://schemas.openxmlformats.org/officeDocument/2006/relationships/hyperlink" Target="https://hytengineering.com/underfloor-wheel-lathe/" TargetMode="External" Id="rId16"/><Relationship Type="http://schemas.openxmlformats.org/officeDocument/2006/relationships/hyperlink" Target="https://hytengineering.com/underfloor-wheel-lathe-yugl/" TargetMode="External" Id="rId17"/><Relationship Type="http://schemas.openxmlformats.org/officeDocument/2006/relationships/hyperlink" Target="https://hytengineering.com/tandem-underfloor-wheel-lathe/" TargetMode="External" Id="rId18"/><Relationship Type="http://schemas.openxmlformats.org/officeDocument/2006/relationships/hyperlink" Target="https://hytengineering.com/tandem-underfloor-wheel-lathe-yuglx/" TargetMode="External" Id="rId19"/><Relationship Type="http://schemas.openxmlformats.org/officeDocument/2006/relationships/hyperlink" Target="https://hytengineering.com/portal-wheel-lathe/" TargetMode="External" Id="rId20"/><Relationship Type="http://schemas.openxmlformats.org/officeDocument/2006/relationships/hyperlink" Target="https://hytengineering.com/roller-type-portal-wheel-lathe/" TargetMode="External" Id="rId21"/><Relationship Type="http://schemas.openxmlformats.org/officeDocument/2006/relationships/hyperlink" Target="https://hytengineering.com/vertical-turning-boring-machine/" TargetMode="External" Id="rId22"/><Relationship Type="http://schemas.openxmlformats.org/officeDocument/2006/relationships/hyperlink" Target="https://hytengineering.com/axle-journal-turning-burnishing-lathe/" TargetMode="External" Id="rId23"/><Relationship Type="http://schemas.openxmlformats.org/officeDocument/2006/relationships/hyperlink" Target="https://hytengineering.com/axle-turning-lathe/" TargetMode="External" Id="rId24"/><Relationship Type="http://schemas.openxmlformats.org/officeDocument/2006/relationships/hyperlink" Target="https://hytengineering.com/wheel-presses/" TargetMode="External" Id="rId25"/><Relationship Type="http://schemas.openxmlformats.org/officeDocument/2006/relationships/hyperlink" Target="https://hytengineering.com/wheel-measuring-station/" TargetMode="External" Id="rId26"/><Relationship Type="http://schemas.openxmlformats.org/officeDocument/2006/relationships/hyperlink" Target="https://hytengineering.com/dynamic-wheel-balancing-machine/" TargetMode="External" Id="rId27"/><Relationship Type="http://schemas.openxmlformats.org/officeDocument/2006/relationships/hyperlink" Target="https://hytengineering.com/multi-purpose-armature-machine/" TargetMode="External" Id="rId28"/><Relationship Type="http://schemas.openxmlformats.org/officeDocument/2006/relationships/hyperlink" Target="https://hytengineering.com/automated-train-washing-plant/" TargetMode="External" Id="rId29"/><Relationship Type="http://schemas.openxmlformats.org/officeDocument/2006/relationships/hyperlink" Target="https://hytengineering.com/rail-cum-road-vehicle-shunter/" TargetMode="External" Id="rId30"/><Relationship Type="http://schemas.openxmlformats.org/officeDocument/2006/relationships/hyperlink" Target="https://hytengineering.com/skc-gleittechnik-gmbh-germany/" TargetMode="External" Id="rId31"/><Relationship Type="http://schemas.openxmlformats.org/officeDocument/2006/relationships/hyperlink" Target="https://hytengineering.com/turnkey-project/" TargetMode="External" Id="rId32"/><Relationship Type="http://schemas.openxmlformats.org/officeDocument/2006/relationships/hyperlink" Target="https://hytengineering.com/turnkey-project/wheel-shops/" TargetMode="External" Id="rId33"/><Relationship Type="http://schemas.openxmlformats.org/officeDocument/2006/relationships/hyperlink" Target="https://hytengineering.com/turnkey-project/railway-maintenance-depots/" TargetMode="External" Id="rId34"/><Relationship Type="http://schemas.openxmlformats.org/officeDocument/2006/relationships/hyperlink" Target="https://hytengineering.com/turnkey-project/rolling-stock-manufacturing-facilities/" TargetMode="External" Id="rId35"/><Relationship Type="http://schemas.openxmlformats.org/officeDocument/2006/relationships/hyperlink" Target="https://hytengineering.com/turnkey-project/wheelset-manufacturing-plants/" TargetMode="External" Id="rId36"/><Relationship Type="http://schemas.openxmlformats.org/officeDocument/2006/relationships/hyperlink" Target="https://hytengineering.com/turnkey-project/wheel-machining-lines/" TargetMode="External" Id="rId37"/><Relationship Type="http://schemas.openxmlformats.org/officeDocument/2006/relationships/hyperlink" Target="https://hytengineering.com/turnkey-project/axle-machining-lines/" TargetMode="External" Id="rId38"/><Relationship Type="http://schemas.openxmlformats.org/officeDocument/2006/relationships/hyperlink" Target="https://hytengineering.com/executed-projects/" TargetMode="External" Id="rId39"/><Relationship Type="http://schemas.openxmlformats.org/officeDocument/2006/relationships/hyperlink" Target="https://hytengineering.com/under-execution/" TargetMode="External" Id="rId40"/><Relationship Type="http://schemas.openxmlformats.org/officeDocument/2006/relationships/hyperlink" Target="https://hytengineering.com/services/" TargetMode="External" Id="rId41"/><Relationship Type="http://schemas.openxmlformats.org/officeDocument/2006/relationships/hyperlink" Target="https://hytengineering.com/installation-commissioning/" TargetMode="External" Id="rId42"/><Relationship Type="http://schemas.openxmlformats.org/officeDocument/2006/relationships/hyperlink" Target="https://hytengineering.com/maintenance/" TargetMode="External" Id="rId43"/><Relationship Type="http://schemas.openxmlformats.org/officeDocument/2006/relationships/hyperlink" Target="https://hytengineering.com/operation-and-maintenance/" TargetMode="External" Id="rId44"/><Relationship Type="http://schemas.openxmlformats.org/officeDocument/2006/relationships/hyperlink" Target="https://hytengineering.com/annual-maintenance-contract/" TargetMode="External" Id="rId45"/><Relationship Type="http://schemas.openxmlformats.org/officeDocument/2006/relationships/hyperlink" Target="https://hytengineering.com/comprehensive-annual-maintenance-contract/" TargetMode="External" Id="rId46"/><Relationship Type="http://schemas.openxmlformats.org/officeDocument/2006/relationships/hyperlink" Target="https://hytengineering.com/operation-contract/" TargetMode="External" Id="rId47"/><Relationship Type="http://schemas.openxmlformats.org/officeDocument/2006/relationships/hyperlink" Target="https://hytengineering.com/service-contract/" TargetMode="External" Id="rId48"/><Relationship Type="http://schemas.openxmlformats.org/officeDocument/2006/relationships/hyperlink" Target="https://hytengineering.com/spare-supply/" TargetMode="External" Id="rId49"/><Relationship Type="http://schemas.openxmlformats.org/officeDocument/2006/relationships/hyperlink" Target="https://hytengineering.com/retro-fitment-upgradation/" TargetMode="External" Id="rId50"/><Relationship Type="http://schemas.openxmlformats.org/officeDocument/2006/relationships/hyperlink" Target="https://hytengineering.com/repair/" TargetMode="External" Id="rId51"/><Relationship Type="http://schemas.openxmlformats.org/officeDocument/2006/relationships/hyperlink" Target="https://hytengineering.com/shifting/" TargetMode="External" Id="rId52"/><Relationship Type="http://schemas.openxmlformats.org/officeDocument/2006/relationships/hyperlink" Target="https://hytengineering.com/wet-leasing/" TargetMode="External" Id="rId53"/><Relationship Type="http://schemas.openxmlformats.org/officeDocument/2006/relationships/hyperlink" Target="https://hytengineering.com/training/" TargetMode="External" Id="rId54"/><Relationship Type="http://schemas.openxmlformats.org/officeDocument/2006/relationships/hyperlink" Target="https://hytengineering.com/service-centers/" TargetMode="External" Id="rId55"/><Relationship Type="http://schemas.openxmlformats.org/officeDocument/2006/relationships/hyperlink" Target="https://hytengineering.com/industries/" TargetMode="External" Id="rId56"/><Relationship Type="http://schemas.openxmlformats.org/officeDocument/2006/relationships/hyperlink" Target="https://hytengineering.com/industries/railways/" TargetMode="External" Id="rId57"/><Relationship Type="http://schemas.openxmlformats.org/officeDocument/2006/relationships/hyperlink" Target="https://hytengineering.com/industries/metros/" TargetMode="External" Id="rId58"/><Relationship Type="http://schemas.openxmlformats.org/officeDocument/2006/relationships/hyperlink" Target="https://hytengineering.com/industries/rolling-stock-manufacturers/" TargetMode="External" Id="rId59"/><Relationship Type="http://schemas.openxmlformats.org/officeDocument/2006/relationships/hyperlink" Target="https://hytengineering.com/industries/defence/" TargetMode="External" Id="rId60"/><Relationship Type="http://schemas.openxmlformats.org/officeDocument/2006/relationships/hyperlink" Target="https://hytengineering.com/industries/heavy-engineering/" TargetMode="External" Id="rId61"/><Relationship Type="http://schemas.openxmlformats.org/officeDocument/2006/relationships/hyperlink" Target="https://hytengineering.com/news/" TargetMode="External" Id="rId62"/><Relationship Type="http://schemas.openxmlformats.org/officeDocument/2006/relationships/hyperlink" Target="https://hytengineering.com/international-exhibitions/" TargetMode="External" Id="rId63"/><Relationship Type="http://schemas.openxmlformats.org/officeDocument/2006/relationships/hyperlink" Target="https://hytengineering.com/domestic-exhibitions/" TargetMode="External" Id="rId64"/><Relationship Type="http://schemas.openxmlformats.org/officeDocument/2006/relationships/hyperlink" Target="https://hytengineering.com/blog/" TargetMode="External" Id="rId65"/><Relationship Type="http://schemas.openxmlformats.org/officeDocument/2006/relationships/hyperlink" Target="https://hytengineering.com/knowledge-centre/" TargetMode="External" Id="rId66"/><Relationship Type="http://schemas.openxmlformats.org/officeDocument/2006/relationships/hyperlink" Target="https://hytengineering.com/downloads/" TargetMode="External" Id="rId67"/><Relationship Type="http://schemas.openxmlformats.org/officeDocument/2006/relationships/hyperlink" Target="https://hytengineering.com/work-with-us/" TargetMode="External" Id="rId68"/><Relationship Type="http://schemas.openxmlformats.org/officeDocument/2006/relationships/hyperlink" Target="https://hytengineering.com/career/" TargetMode="External" Id="rId69"/><Relationship Type="http://schemas.openxmlformats.org/officeDocument/2006/relationships/hyperlink" Target="https://hytengineering.com/supplier-registration/" TargetMode="External" Id="rId70"/><Relationship Type="http://schemas.openxmlformats.org/officeDocument/2006/relationships/hyperlink" Target="https://hytengineering.com/memorialization/" TargetMode="External" Id="rId71"/><Relationship Type="http://schemas.openxmlformats.org/officeDocument/2006/relationships/hyperlink" Target="https://hytengineering.com/contact-us/" TargetMode="External" Id="rId72"/><Relationship Type="http://schemas.openxmlformats.org/officeDocument/2006/relationships/hyperlink" Target="https://hytengineering.com/thank-you/" TargetMode="External" Id="rId73"/><Relationship Type="http://schemas.openxmlformats.org/officeDocument/2006/relationships/hyperlink" Target="https://hytengineering.com/privacy-policy/" TargetMode="External" Id="rId74"/><Relationship Type="http://schemas.openxmlformats.org/officeDocument/2006/relationships/hyperlink" Target="https://hytengineering.com/disclaimer/" TargetMode="External" Id="rId75"/><Relationship Type="http://schemas.openxmlformats.org/officeDocument/2006/relationships/hyperlink" Target="https://hytengineering.com/cookie-policy/" TargetMode="External" Id="rId76"/><Relationship Type="http://schemas.openxmlformats.org/officeDocument/2006/relationships/hyperlink" Target="https://hytengineering.com/sitemap/" TargetMode="External" Id="rId77"/><Relationship Type="http://schemas.openxmlformats.org/officeDocument/2006/relationships/hyperlink" Target="https://hytengineering.com/404.html" TargetMode="External" Id="rId7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60" customWidth="1" min="3" max="3"/>
  </cols>
  <sheetData>
    <row r="1">
      <c r="A1" s="1" t="inlineStr">
        <is>
          <t>HYT Engineering Company Pvt. Ltd. – Website Page List</t>
        </is>
      </c>
      <c r="B1" s="2" t="n"/>
      <c r="C1" s="2" t="n"/>
    </row>
    <row r="2">
      <c r="A2" s="3" t="inlineStr">
        <is>
          <t>Prepared for vendor scoping. Generated from the website build (src/registry.py + English content).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Item</t>
        </is>
      </c>
      <c r="B4" s="4" t="inlineStr">
        <is>
          <t>Count</t>
        </is>
      </c>
      <c r="C4" s="4" t="inlineStr">
        <is>
          <t>Note</t>
        </is>
      </c>
    </row>
    <row r="5">
      <c r="A5" s="5" t="inlineStr">
        <is>
          <t>Unique pages (per language)</t>
        </is>
      </c>
      <c r="B5" s="6">
        <f>COUNTA('Page List'!A2:A79)</f>
        <v/>
      </c>
      <c r="C5" s="5" t="inlineStr">
        <is>
          <t>One row per page in "Page List"</t>
        </is>
      </c>
    </row>
    <row r="6">
      <c r="A6" s="5" t="inlineStr">
        <is>
          <t>Language versions</t>
        </is>
      </c>
      <c r="B6" s="6">
        <f>COUNTA(Languages!A2:A7)</f>
        <v/>
      </c>
      <c r="C6" s="5" t="inlineStr">
        <is>
          <t>See "Languages"</t>
        </is>
      </c>
    </row>
    <row r="7">
      <c r="A7" s="5" t="inlineStr">
        <is>
          <t>Total HTML pages to build</t>
        </is>
      </c>
      <c r="B7" s="6">
        <f>B5*B6</f>
        <v/>
      </c>
      <c r="C7" s="5" t="inlineStr">
        <is>
          <t>Unique pages × languages</t>
        </is>
      </c>
    </row>
    <row r="8">
      <c r="A8" s="5" t="inlineStr">
        <is>
          <t>Level 1 – Main pages</t>
        </is>
      </c>
      <c r="B8" s="6">
        <f>COUNTIF('Page List'!B2:B79,"Level 1*")</f>
        <v/>
      </c>
      <c r="C8" s="5" t="inlineStr"/>
    </row>
    <row r="9">
      <c r="A9" s="5" t="inlineStr">
        <is>
          <t>Level 2 – Sub pages</t>
        </is>
      </c>
      <c r="B9" s="6">
        <f>COUNTIF('Page List'!B2:B79,"Level 2*")</f>
        <v/>
      </c>
      <c r="C9" s="5" t="inlineStr"/>
    </row>
    <row r="10">
      <c r="A10" s="5" t="inlineStr">
        <is>
          <t>Level 3 – Sub-sub pages</t>
        </is>
      </c>
      <c r="B10" s="6">
        <f>COUNTIF('Page List'!B2:B79,"Level 3*")</f>
        <v/>
      </c>
      <c r="C10" s="5" t="inlineStr"/>
    </row>
    <row r="11">
      <c r="A11" s="5" t="inlineStr">
        <is>
          <t>Product pages (shared product template)</t>
        </is>
      </c>
      <c r="B11" s="6">
        <f>COUNTIF('Page List'!G2:G79,"Product page")</f>
        <v/>
      </c>
      <c r="C11" s="5" t="inlineStr">
        <is>
          <t>Specs table, video, gated catalogue, sub-navigation</t>
        </is>
      </c>
    </row>
    <row r="12">
      <c r="A12" s="5" t="inlineStr">
        <is>
          <t>Content pages</t>
        </is>
      </c>
      <c r="B12" s="6">
        <f>COUNTIF('Page List'!G2:G79,"Content page")</f>
        <v/>
      </c>
      <c r="C12" s="5" t="inlineStr"/>
    </row>
    <row r="13">
      <c r="A13" s="5" t="inlineStr">
        <is>
          <t>Legal pages</t>
        </is>
      </c>
      <c r="B13" s="6">
        <f>COUNTIF('Page List'!G2:G79,"Legal page")</f>
        <v/>
      </c>
      <c r="C13" s="5" t="inlineStr"/>
    </row>
    <row r="14">
      <c r="A14" s="5" t="inlineStr">
        <is>
          <t>Utility pages (thank-you, sitemap, 404 etc.)</t>
        </is>
      </c>
      <c r="B14" s="6">
        <f>COUNTIF('Page List'!G2:G79,"Utility page")</f>
        <v/>
      </c>
      <c r="C14" s="5" t="inlineStr"/>
    </row>
    <row r="15">
      <c r="A15" s="5" t="inlineStr">
        <is>
          <t>Pages with forms</t>
        </is>
      </c>
      <c r="B15" s="6">
        <f>COUNTIF('Page List'!J2:J79,"*form*")</f>
        <v/>
      </c>
      <c r="C15" s="5" t="inlineStr">
        <is>
          <t>Enquiry, career, supplier, catalogue</t>
        </is>
      </c>
    </row>
    <row r="16">
      <c r="A16" s="5" t="inlineStr">
        <is>
          <t>Pages with content pending HYT approval</t>
        </is>
      </c>
      <c r="B16" s="6">
        <f>COUNTIF('Page List'!N2:N79,"Yes")</f>
        <v/>
      </c>
      <c r="C16" s="5" t="inlineStr">
        <is>
          <t>Yellow review note on the preview site</t>
        </is>
      </c>
    </row>
    <row r="17">
      <c r="A17" s="5" t="inlineStr">
        <is>
          <t>301 redirects (root + every language folder)</t>
        </is>
      </c>
      <c r="B17" s="6">
        <f>COUNTA('301 Redirects'!B2:B30)*B6</f>
        <v/>
      </c>
      <c r="C17" s="5" t="inlineStr">
        <is>
          <t>See "301 Redirects"</t>
        </is>
      </c>
    </row>
    <row r="18">
      <c r="A18" s="2" t="n"/>
      <c r="B18" s="2" t="n"/>
      <c r="C18" s="2" t="n"/>
    </row>
    <row r="19">
      <c r="A19" s="7" t="inlineStr">
        <is>
          <t>Legend (Page List)</t>
        </is>
      </c>
      <c r="B19" s="2" t="n"/>
      <c r="C19" s="2" t="n"/>
    </row>
    <row r="20">
      <c r="A20" s="8" t="inlineStr">
        <is>
          <t>Level 0 – Home</t>
        </is>
      </c>
      <c r="B20" s="2" t="n"/>
      <c r="C20" s="2" t="n"/>
    </row>
    <row r="21">
      <c r="A21" s="9" t="inlineStr">
        <is>
          <t>Level 1 – Main page</t>
        </is>
      </c>
      <c r="B21" s="2" t="n"/>
      <c r="C21" s="2" t="n"/>
    </row>
    <row r="22">
      <c r="A22" s="10" t="inlineStr">
        <is>
          <t>Level 2 – Sub page</t>
        </is>
      </c>
      <c r="B22" s="2" t="n"/>
      <c r="C22" s="2" t="n"/>
    </row>
    <row r="23">
      <c r="A23" s="11" t="inlineStr">
        <is>
          <t>Level 3 – Sub-sub page</t>
        </is>
      </c>
      <c r="B23" s="2" t="n"/>
      <c r="C23" s="2" t="n"/>
    </row>
    <row r="24">
      <c r="A24" s="2" t="n"/>
      <c r="B24" s="2" t="n"/>
      <c r="C24" s="2" t="n"/>
    </row>
    <row r="25">
      <c r="A25" s="3" t="inlineStr">
        <is>
          <t>Column "Vendor Remarks" in Page List is for the vendor to fill in (questions, estimates, comments).</t>
        </is>
      </c>
      <c r="B25" s="2" t="n"/>
      <c r="C25" s="2" t="n"/>
    </row>
    <row r="26">
      <c r="A26" s="3" t="inlineStr">
        <is>
          <t>Global features: mega menu, site search, language switcher, sets no cookies, responsive, WCAG 2.1 AA, Lenis smooth scroll, animations (reduced-motion safe).</t>
        </is>
      </c>
      <c r="B26" s="2" t="n"/>
      <c r="C26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6" customWidth="1" min="4" max="4"/>
    <col width="44" customWidth="1" min="5" max="5"/>
    <col width="52" customWidth="1" min="6" max="6"/>
    <col width="16" customWidth="1" min="7" max="7"/>
    <col width="50" customWidth="1" min="8" max="8"/>
    <col width="70" customWidth="1" min="9" max="9"/>
    <col width="46" customWidth="1" min="10" max="10"/>
    <col width="11" customWidth="1" min="11" max="11"/>
    <col width="10" customWidth="1" min="12" max="12"/>
    <col width="14" customWidth="1" min="13" max="13"/>
    <col width="15" customWidth="1" min="14" max="14"/>
    <col width="30" customWidth="1" min="15" max="15"/>
  </cols>
  <sheetData>
    <row r="1" ht="30" customHeight="1">
      <c r="A1" s="12" t="inlineStr">
        <is>
          <t>Sr. No.</t>
        </is>
      </c>
      <c r="B1" s="12" t="inlineStr">
        <is>
          <t>Level</t>
        </is>
      </c>
      <c r="C1" s="12" t="inlineStr">
        <is>
          <t>Main Menu Section</t>
        </is>
      </c>
      <c r="D1" s="12" t="inlineStr">
        <is>
          <t>Parent Page</t>
        </is>
      </c>
      <c r="E1" s="12" t="inlineStr">
        <is>
          <t>Page Name (hierarchy)</t>
        </is>
      </c>
      <c r="F1" s="12" t="inlineStr">
        <is>
          <t>URL (English – Global)</t>
        </is>
      </c>
      <c r="G1" s="12" t="inlineStr">
        <is>
          <t>Page Type</t>
        </is>
      </c>
      <c r="H1" s="12" t="inlineStr">
        <is>
          <t>Main Heading (H1)</t>
        </is>
      </c>
      <c r="I1" s="12" t="inlineStr">
        <is>
          <t>Key Sections on Page</t>
        </is>
      </c>
      <c r="J1" s="12" t="inlineStr">
        <is>
          <t>Special Features / Functionality</t>
        </is>
      </c>
      <c r="K1" s="12" t="inlineStr">
        <is>
          <t>In Main Menu</t>
        </is>
      </c>
      <c r="L1" s="12" t="inlineStr">
        <is>
          <t>In Footer</t>
        </is>
      </c>
      <c r="M1" s="12" t="inlineStr">
        <is>
          <t>In XML Sitemap</t>
        </is>
      </c>
      <c r="N1" s="12" t="inlineStr">
        <is>
          <t>Content Pending HYT Approval</t>
        </is>
      </c>
      <c r="O1" s="12" t="inlineStr">
        <is>
          <t>Vendor Remarks</t>
        </is>
      </c>
    </row>
    <row r="2">
      <c r="A2" s="13" t="n">
        <v>1</v>
      </c>
      <c r="B2" s="14" t="inlineStr">
        <is>
          <t>Level 0 – Home</t>
        </is>
      </c>
      <c r="C2" s="13" t="inlineStr">
        <is>
          <t>Home</t>
        </is>
      </c>
      <c r="D2" s="13" t="inlineStr">
        <is>
          <t>—</t>
        </is>
      </c>
      <c r="E2" s="14" t="inlineStr">
        <is>
          <t>Home</t>
        </is>
      </c>
      <c r="F2" s="13" t="inlineStr">
        <is>
          <t>https://hytengineering.com/</t>
        </is>
      </c>
      <c r="G2" s="13" t="inlineStr">
        <is>
          <t>Home page</t>
        </is>
      </c>
      <c r="H2" s="13" t="inlineStr">
        <is>
          <t>Solutions for Rolling Stock Production &amp; Maintenance</t>
        </is>
      </c>
      <c r="I2" s="13" t="inlineStr">
        <is>
          <t>Precision that keeps fleets moving | Machines for every stage of the wheelset's life | CNC underfloor wheel lathes | Vertical turning lathes and axle machining | One partner from empty shed to running workshop | Built for the people who keep rolling stock safe | Support that lasts as long as the machine | Installed where reliability matters | Engineering you can measure | Latest from HYT</t>
        </is>
      </c>
      <c r="J2" s="13" t="inlineStr">
        <is>
          <t>Animated counters, Customer logo carousel, News cards</t>
        </is>
      </c>
      <c r="K2" s="13" t="inlineStr">
        <is>
          <t>No</t>
        </is>
      </c>
      <c r="L2" s="13" t="inlineStr">
        <is>
          <t>No</t>
        </is>
      </c>
      <c r="M2" s="13" t="inlineStr">
        <is>
          <t>Yes</t>
        </is>
      </c>
      <c r="N2" s="13" t="inlineStr">
        <is>
          <t>No</t>
        </is>
      </c>
      <c r="O2" s="13" t="inlineStr"/>
    </row>
    <row r="3">
      <c r="A3" s="15" t="n">
        <v>2</v>
      </c>
      <c r="B3" s="16" t="inlineStr">
        <is>
          <t>Level 1 – Main page</t>
        </is>
      </c>
      <c r="C3" s="15" t="inlineStr">
        <is>
          <t>About Us</t>
        </is>
      </c>
      <c r="D3" s="15" t="inlineStr">
        <is>
          <t>Home</t>
        </is>
      </c>
      <c r="E3" s="16" t="inlineStr">
        <is>
          <t>About Us</t>
        </is>
      </c>
      <c r="F3" s="15" t="inlineStr">
        <is>
          <t>https://hytengineering.com/company/</t>
        </is>
      </c>
      <c r="G3" s="15" t="inlineStr">
        <is>
          <t>Content page</t>
        </is>
      </c>
      <c r="H3" s="15" t="inlineStr">
        <is>
          <t>About HYT Engineering</t>
        </is>
      </c>
      <c r="I3" s="15" t="inlineStr">
        <is>
          <t>From workshop lathes to railway wheel technology | Machines and services for the whole wheelset life cycle | Design, build, install, support – under one roof | What guides our decisions | Trusted by railways and metros | More about HYT</t>
        </is>
      </c>
      <c r="J3" s="15" t="inlineStr">
        <is>
          <t>Animated counters</t>
        </is>
      </c>
      <c r="K3" s="15" t="inlineStr">
        <is>
          <t>Yes</t>
        </is>
      </c>
      <c r="L3" s="15" t="inlineStr">
        <is>
          <t>Yes</t>
        </is>
      </c>
      <c r="M3" s="15" t="inlineStr">
        <is>
          <t>Yes</t>
        </is>
      </c>
      <c r="N3" s="15" t="inlineStr">
        <is>
          <t>No</t>
        </is>
      </c>
      <c r="O3" s="15" t="inlineStr"/>
    </row>
    <row r="4">
      <c r="A4" s="17" t="n">
        <v>3</v>
      </c>
      <c r="B4" s="17" t="inlineStr">
        <is>
          <t>Level 2 – Sub page</t>
        </is>
      </c>
      <c r="C4" s="17" t="inlineStr">
        <is>
          <t>About Us</t>
        </is>
      </c>
      <c r="D4" s="17" t="inlineStr">
        <is>
          <t>About Us</t>
        </is>
      </c>
      <c r="E4" s="17" t="inlineStr">
        <is>
          <t xml:space="preserve">    Group Companies</t>
        </is>
      </c>
      <c r="F4" s="17" t="inlineStr">
        <is>
          <t>https://hytengineering.com/group-companies/</t>
        </is>
      </c>
      <c r="G4" s="17" t="inlineStr">
        <is>
          <t>Content page</t>
        </is>
      </c>
      <c r="H4" s="17" t="inlineStr">
        <is>
          <t>HYT Group Companies</t>
        </is>
      </c>
      <c r="I4" s="17" t="inlineStr">
        <is>
          <t>Why the group structure matters to customers | What customers can expect</t>
        </is>
      </c>
      <c r="J4" s="17" t="inlineStr"/>
      <c r="K4" s="17" t="inlineStr">
        <is>
          <t>Yes</t>
        </is>
      </c>
      <c r="L4" s="17" t="inlineStr">
        <is>
          <t>Yes</t>
        </is>
      </c>
      <c r="M4" s="17" t="inlineStr">
        <is>
          <t>Yes</t>
        </is>
      </c>
      <c r="N4" s="17" t="inlineStr">
        <is>
          <t>Yes</t>
        </is>
      </c>
      <c r="O4" s="17" t="inlineStr"/>
    </row>
    <row r="5">
      <c r="A5" s="17" t="n">
        <v>4</v>
      </c>
      <c r="B5" s="17" t="inlineStr">
        <is>
          <t>Level 2 – Sub page</t>
        </is>
      </c>
      <c r="C5" s="17" t="inlineStr">
        <is>
          <t>About Us</t>
        </is>
      </c>
      <c r="D5" s="17" t="inlineStr">
        <is>
          <t>About Us</t>
        </is>
      </c>
      <c r="E5" s="17" t="inlineStr">
        <is>
          <t xml:space="preserve">    History</t>
        </is>
      </c>
      <c r="F5" s="17" t="inlineStr">
        <is>
          <t>https://hytengineering.com/history/</t>
        </is>
      </c>
      <c r="G5" s="17" t="inlineStr">
        <is>
          <t>Content page</t>
        </is>
      </c>
      <c r="H5" s="17" t="inlineStr">
        <is>
          <t>Our History</t>
        </is>
      </c>
      <c r="I5" s="17" t="inlineStr">
        <is>
          <t>From drilling machines to a global engineering group | Foundation | Early innovation | Wheel lathe pioneer | The CNC era and global reach | Turnkey leadership and global expansion | New horizons</t>
        </is>
      </c>
      <c r="J5" s="17" t="inlineStr">
        <is>
          <t>Timeline</t>
        </is>
      </c>
      <c r="K5" s="17" t="inlineStr">
        <is>
          <t>Yes</t>
        </is>
      </c>
      <c r="L5" s="17" t="inlineStr">
        <is>
          <t>Yes</t>
        </is>
      </c>
      <c r="M5" s="17" t="inlineStr">
        <is>
          <t>Yes</t>
        </is>
      </c>
      <c r="N5" s="17" t="inlineStr">
        <is>
          <t>No</t>
        </is>
      </c>
      <c r="O5" s="17" t="inlineStr"/>
    </row>
    <row r="6">
      <c r="A6" s="17" t="n">
        <v>5</v>
      </c>
      <c r="B6" s="17" t="inlineStr">
        <is>
          <t>Level 2 – Sub page</t>
        </is>
      </c>
      <c r="C6" s="17" t="inlineStr">
        <is>
          <t>About Us</t>
        </is>
      </c>
      <c r="D6" s="17" t="inlineStr">
        <is>
          <t>About Us</t>
        </is>
      </c>
      <c r="E6" s="17" t="inlineStr">
        <is>
          <t xml:space="preserve">    Quality</t>
        </is>
      </c>
      <c r="F6" s="17" t="inlineStr">
        <is>
          <t>https://hytengineering.com/quality/</t>
        </is>
      </c>
      <c r="G6" s="17" t="inlineStr">
        <is>
          <t>Content page</t>
        </is>
      </c>
      <c r="H6" s="17" t="inlineStr">
        <is>
          <t>Quality at HYT</t>
        </is>
      </c>
      <c r="I6" s="17" t="inlineStr">
        <is>
          <t>Quality you can measure on the wheel | Six checkpoints between order and handover | How we keep improving | Related pages</t>
        </is>
      </c>
      <c r="J6" s="17" t="inlineStr"/>
      <c r="K6" s="17" t="inlineStr">
        <is>
          <t>Yes</t>
        </is>
      </c>
      <c r="L6" s="17" t="inlineStr">
        <is>
          <t>Yes</t>
        </is>
      </c>
      <c r="M6" s="17" t="inlineStr">
        <is>
          <t>Yes</t>
        </is>
      </c>
      <c r="N6" s="17" t="inlineStr">
        <is>
          <t>Yes</t>
        </is>
      </c>
      <c r="O6" s="17" t="inlineStr"/>
    </row>
    <row r="7">
      <c r="A7" s="18" t="n">
        <v>6</v>
      </c>
      <c r="B7" s="18" t="inlineStr">
        <is>
          <t>Level 3 – Sub-sub page</t>
        </is>
      </c>
      <c r="C7" s="18" t="inlineStr">
        <is>
          <t>About Us</t>
        </is>
      </c>
      <c r="D7" s="18" t="inlineStr">
        <is>
          <t>Quality</t>
        </is>
      </c>
      <c r="E7" s="18" t="inlineStr">
        <is>
          <t xml:space="preserve">        Certifications</t>
        </is>
      </c>
      <c r="F7" s="18" t="inlineStr">
        <is>
          <t>https://hytengineering.com/certifications/</t>
        </is>
      </c>
      <c r="G7" s="18" t="inlineStr">
        <is>
          <t>Content page</t>
        </is>
      </c>
      <c r="H7" s="18" t="inlineStr">
        <is>
          <t>Certifications</t>
        </is>
      </c>
      <c r="I7" s="18" t="inlineStr">
        <is>
          <t>Three standards, one way of working | Using our certificates in your supplier approval</t>
        </is>
      </c>
      <c r="J7" s="18" t="inlineStr"/>
      <c r="K7" s="18" t="inlineStr">
        <is>
          <t>Yes</t>
        </is>
      </c>
      <c r="L7" s="18" t="inlineStr">
        <is>
          <t>No</t>
        </is>
      </c>
      <c r="M7" s="18" t="inlineStr">
        <is>
          <t>Yes</t>
        </is>
      </c>
      <c r="N7" s="18" t="inlineStr">
        <is>
          <t>Yes</t>
        </is>
      </c>
      <c r="O7" s="18" t="inlineStr"/>
    </row>
    <row r="8">
      <c r="A8" s="17" t="n">
        <v>7</v>
      </c>
      <c r="B8" s="17" t="inlineStr">
        <is>
          <t>Level 2 – Sub page</t>
        </is>
      </c>
      <c r="C8" s="17" t="inlineStr">
        <is>
          <t>About Us</t>
        </is>
      </c>
      <c r="D8" s="17" t="inlineStr">
        <is>
          <t>About Us</t>
        </is>
      </c>
      <c r="E8" s="17" t="inlineStr">
        <is>
          <t xml:space="preserve">    Awards</t>
        </is>
      </c>
      <c r="F8" s="17" t="inlineStr">
        <is>
          <t>https://hytengineering.com/awards/</t>
        </is>
      </c>
      <c r="G8" s="17" t="inlineStr">
        <is>
          <t>Content page</t>
        </is>
      </c>
      <c r="H8" s="17" t="inlineStr">
        <is>
          <t>Awards and Recognition</t>
        </is>
      </c>
      <c r="I8" s="17" t="inlineStr">
        <is>
          <t>Independent recognition | Recognition earned in the workshop</t>
        </is>
      </c>
      <c r="J8" s="17" t="inlineStr"/>
      <c r="K8" s="17" t="inlineStr">
        <is>
          <t>Yes</t>
        </is>
      </c>
      <c r="L8" s="17" t="inlineStr">
        <is>
          <t>No</t>
        </is>
      </c>
      <c r="M8" s="17" t="inlineStr">
        <is>
          <t>Yes</t>
        </is>
      </c>
      <c r="N8" s="17" t="inlineStr">
        <is>
          <t>Yes</t>
        </is>
      </c>
      <c r="O8" s="17" t="inlineStr"/>
    </row>
    <row r="9">
      <c r="A9" s="17" t="n">
        <v>8</v>
      </c>
      <c r="B9" s="17" t="inlineStr">
        <is>
          <t>Level 2 – Sub page</t>
        </is>
      </c>
      <c r="C9" s="17" t="inlineStr">
        <is>
          <t>About Us</t>
        </is>
      </c>
      <c r="D9" s="17" t="inlineStr">
        <is>
          <t>About Us</t>
        </is>
      </c>
      <c r="E9" s="17" t="inlineStr">
        <is>
          <t xml:space="preserve">    Clientele</t>
        </is>
      </c>
      <c r="F9" s="17" t="inlineStr">
        <is>
          <t>https://hytengineering.com/clientele/</t>
        </is>
      </c>
      <c r="G9" s="17" t="inlineStr">
        <is>
          <t>Content page</t>
        </is>
      </c>
      <c r="H9" s="17" t="inlineStr">
        <is>
          <t>Our Clientele</t>
        </is>
      </c>
      <c r="I9" s="17" t="inlineStr">
        <is>
          <t>Selected customers | Operators who cannot afford idle trains | Industries we serve</t>
        </is>
      </c>
      <c r="J9" s="17" t="inlineStr"/>
      <c r="K9" s="17" t="inlineStr">
        <is>
          <t>Yes</t>
        </is>
      </c>
      <c r="L9" s="17" t="inlineStr">
        <is>
          <t>Yes</t>
        </is>
      </c>
      <c r="M9" s="17" t="inlineStr">
        <is>
          <t>Yes</t>
        </is>
      </c>
      <c r="N9" s="17" t="inlineStr">
        <is>
          <t>Yes</t>
        </is>
      </c>
      <c r="O9" s="17" t="inlineStr"/>
    </row>
    <row r="10">
      <c r="A10" s="17" t="n">
        <v>9</v>
      </c>
      <c r="B10" s="17" t="inlineStr">
        <is>
          <t>Level 2 – Sub page</t>
        </is>
      </c>
      <c r="C10" s="17" t="inlineStr">
        <is>
          <t>About Us</t>
        </is>
      </c>
      <c r="D10" s="17" t="inlineStr">
        <is>
          <t>About Us</t>
        </is>
      </c>
      <c r="E10" s="17" t="inlineStr">
        <is>
          <t xml:space="preserve">    CSR</t>
        </is>
      </c>
      <c r="F10" s="17" t="inlineStr">
        <is>
          <t>https://hytengineering.com/csr/</t>
        </is>
      </c>
      <c r="G10" s="17" t="inlineStr">
        <is>
          <t>Content page</t>
        </is>
      </c>
      <c r="H10" s="17" t="inlineStr">
        <is>
          <t>Corporate Social Responsibility</t>
        </is>
      </c>
      <c r="I10" s="17" t="inlineStr">
        <is>
          <t>Responsibility that starts close to home | Where we want to make a difference | Employees who take part</t>
        </is>
      </c>
      <c r="J10" s="17" t="inlineStr"/>
      <c r="K10" s="17" t="inlineStr">
        <is>
          <t>Yes</t>
        </is>
      </c>
      <c r="L10" s="17" t="inlineStr">
        <is>
          <t>Yes</t>
        </is>
      </c>
      <c r="M10" s="17" t="inlineStr">
        <is>
          <t>Yes</t>
        </is>
      </c>
      <c r="N10" s="17" t="inlineStr">
        <is>
          <t>Yes</t>
        </is>
      </c>
      <c r="O10" s="17" t="inlineStr"/>
    </row>
    <row r="11">
      <c r="A11" s="17" t="n">
        <v>10</v>
      </c>
      <c r="B11" s="17" t="inlineStr">
        <is>
          <t>Level 2 – Sub page</t>
        </is>
      </c>
      <c r="C11" s="17" t="inlineStr">
        <is>
          <t>About Us</t>
        </is>
      </c>
      <c r="D11" s="17" t="inlineStr">
        <is>
          <t>About Us</t>
        </is>
      </c>
      <c r="E11" s="17" t="inlineStr">
        <is>
          <t xml:space="preserve">    Compliance</t>
        </is>
      </c>
      <c r="F11" s="17" t="inlineStr">
        <is>
          <t>https://hytengineering.com/compliance/</t>
        </is>
      </c>
      <c r="G11" s="17" t="inlineStr">
        <is>
          <t>Content page</t>
        </is>
      </c>
      <c r="H11" s="17" t="inlineStr">
        <is>
          <t>Compliance</t>
        </is>
      </c>
      <c r="I11" s="17" t="inlineStr">
        <is>
          <t>Doing business the right way | Compliance documents | Further documents</t>
        </is>
      </c>
      <c r="J11" s="17" t="inlineStr"/>
      <c r="K11" s="17" t="inlineStr">
        <is>
          <t>Yes</t>
        </is>
      </c>
      <c r="L11" s="17" t="inlineStr">
        <is>
          <t>Yes</t>
        </is>
      </c>
      <c r="M11" s="17" t="inlineStr">
        <is>
          <t>Yes</t>
        </is>
      </c>
      <c r="N11" s="17" t="inlineStr">
        <is>
          <t>Yes</t>
        </is>
      </c>
      <c r="O11" s="17" t="inlineStr"/>
    </row>
    <row r="12">
      <c r="A12" s="18" t="n">
        <v>11</v>
      </c>
      <c r="B12" s="18" t="inlineStr">
        <is>
          <t>Level 3 – Sub-sub page</t>
        </is>
      </c>
      <c r="C12" s="18" t="inlineStr">
        <is>
          <t>About Us</t>
        </is>
      </c>
      <c r="D12" s="18" t="inlineStr">
        <is>
          <t>Compliance</t>
        </is>
      </c>
      <c r="E12" s="18" t="inlineStr">
        <is>
          <t xml:space="preserve">        Code of Conduct</t>
        </is>
      </c>
      <c r="F12" s="18" t="inlineStr">
        <is>
          <t>https://hytengineering.com/compliance/code-of-conduct/</t>
        </is>
      </c>
      <c r="G12" s="18" t="inlineStr">
        <is>
          <t>Legal page</t>
        </is>
      </c>
      <c r="H12" s="18" t="inlineStr">
        <is>
          <t>Code of Conduct</t>
        </is>
      </c>
      <c r="I12" s="18" t="inlineStr"/>
      <c r="J12" s="18" t="inlineStr"/>
      <c r="K12" s="18" t="inlineStr">
        <is>
          <t>No</t>
        </is>
      </c>
      <c r="L12" s="18" t="inlineStr">
        <is>
          <t>No</t>
        </is>
      </c>
      <c r="M12" s="18" t="inlineStr">
        <is>
          <t>Yes</t>
        </is>
      </c>
      <c r="N12" s="18" t="inlineStr">
        <is>
          <t>Yes</t>
        </is>
      </c>
      <c r="O12" s="18" t="inlineStr"/>
    </row>
    <row r="13">
      <c r="A13" s="18" t="n">
        <v>12</v>
      </c>
      <c r="B13" s="18" t="inlineStr">
        <is>
          <t>Level 3 – Sub-sub page</t>
        </is>
      </c>
      <c r="C13" s="18" t="inlineStr">
        <is>
          <t>About Us</t>
        </is>
      </c>
      <c r="D13" s="18" t="inlineStr">
        <is>
          <t>Compliance</t>
        </is>
      </c>
      <c r="E13" s="18" t="inlineStr">
        <is>
          <t xml:space="preserve">        Guidelines</t>
        </is>
      </c>
      <c r="F13" s="18" t="inlineStr">
        <is>
          <t>https://hytengineering.com/compliance/guidelines/</t>
        </is>
      </c>
      <c r="G13" s="18" t="inlineStr">
        <is>
          <t>Legal page</t>
        </is>
      </c>
      <c r="H13" s="18" t="inlineStr">
        <is>
          <t>Business Conduct Guidelines</t>
        </is>
      </c>
      <c r="I13" s="18" t="inlineStr"/>
      <c r="J13" s="18" t="inlineStr"/>
      <c r="K13" s="18" t="inlineStr">
        <is>
          <t>No</t>
        </is>
      </c>
      <c r="L13" s="18" t="inlineStr">
        <is>
          <t>No</t>
        </is>
      </c>
      <c r="M13" s="18" t="inlineStr">
        <is>
          <t>Yes</t>
        </is>
      </c>
      <c r="N13" s="18" t="inlineStr">
        <is>
          <t>Yes</t>
        </is>
      </c>
      <c r="O13" s="18" t="inlineStr"/>
    </row>
    <row r="14">
      <c r="A14" s="18" t="n">
        <v>13</v>
      </c>
      <c r="B14" s="18" t="inlineStr">
        <is>
          <t>Level 3 – Sub-sub page</t>
        </is>
      </c>
      <c r="C14" s="18" t="inlineStr">
        <is>
          <t>About Us</t>
        </is>
      </c>
      <c r="D14" s="18" t="inlineStr">
        <is>
          <t>Compliance</t>
        </is>
      </c>
      <c r="E14" s="18" t="inlineStr">
        <is>
          <t xml:space="preserve">        Policy Statement</t>
        </is>
      </c>
      <c r="F14" s="18" t="inlineStr">
        <is>
          <t>https://hytengineering.com/compliance/policy-statement/</t>
        </is>
      </c>
      <c r="G14" s="18" t="inlineStr">
        <is>
          <t>Legal page</t>
        </is>
      </c>
      <c r="H14" s="18" t="inlineStr">
        <is>
          <t>Integrated Policy Statement</t>
        </is>
      </c>
      <c r="I14" s="18" t="inlineStr"/>
      <c r="J14" s="18" t="inlineStr"/>
      <c r="K14" s="18" t="inlineStr">
        <is>
          <t>No</t>
        </is>
      </c>
      <c r="L14" s="18" t="inlineStr">
        <is>
          <t>No</t>
        </is>
      </c>
      <c r="M14" s="18" t="inlineStr">
        <is>
          <t>Yes</t>
        </is>
      </c>
      <c r="N14" s="18" t="inlineStr">
        <is>
          <t>Yes</t>
        </is>
      </c>
      <c r="O14" s="18" t="inlineStr"/>
    </row>
    <row r="15">
      <c r="A15" s="15" t="n">
        <v>14</v>
      </c>
      <c r="B15" s="16" t="inlineStr">
        <is>
          <t>Level 1 – Main page</t>
        </is>
      </c>
      <c r="C15" s="15" t="inlineStr">
        <is>
          <t>Products</t>
        </is>
      </c>
      <c r="D15" s="15" t="inlineStr">
        <is>
          <t>Home</t>
        </is>
      </c>
      <c r="E15" s="16" t="inlineStr">
        <is>
          <t>Products</t>
        </is>
      </c>
      <c r="F15" s="15" t="inlineStr">
        <is>
          <t>https://hytengineering.com/products/</t>
        </is>
      </c>
      <c r="G15" s="15" t="inlineStr">
        <is>
          <t>Content page</t>
        </is>
      </c>
      <c r="H15" s="15" t="inlineStr">
        <is>
          <t>Railway machine tools for every stage of the wheelset's life</t>
        </is>
      </c>
      <c r="I15" s="15" t="inlineStr">
        <is>
          <t>Engineered for the wheelset, built for the workshop | Browse the product range | How to choose the right wheel lathe | Wheel lathe types compared</t>
        </is>
      </c>
      <c r="J15" s="15" t="inlineStr">
        <is>
          <t>Product filter</t>
        </is>
      </c>
      <c r="K15" s="15" t="inlineStr">
        <is>
          <t>Yes</t>
        </is>
      </c>
      <c r="L15" s="15" t="inlineStr">
        <is>
          <t>Yes</t>
        </is>
      </c>
      <c r="M15" s="15" t="inlineStr">
        <is>
          <t>Yes</t>
        </is>
      </c>
      <c r="N15" s="15" t="inlineStr">
        <is>
          <t>No</t>
        </is>
      </c>
      <c r="O15" s="15" t="inlineStr"/>
    </row>
    <row r="16">
      <c r="A16" s="17" t="n">
        <v>15</v>
      </c>
      <c r="B16" s="17" t="inlineStr">
        <is>
          <t>Level 2 – Sub page</t>
        </is>
      </c>
      <c r="C16" s="17" t="inlineStr">
        <is>
          <t>Products</t>
        </is>
      </c>
      <c r="D16" s="17" t="inlineStr">
        <is>
          <t>Products</t>
        </is>
      </c>
      <c r="E16" s="17" t="inlineStr">
        <is>
          <t xml:space="preserve">    CNC Surface Wheel Lathe</t>
        </is>
      </c>
      <c r="F16" s="17" t="inlineStr">
        <is>
          <t>https://hytengineering.com/surface-wheel-lathe/</t>
        </is>
      </c>
      <c r="G16" s="17" t="inlineStr">
        <is>
          <t>Product page</t>
        </is>
      </c>
      <c r="H16" s="17" t="inlineStr">
        <is>
          <t>CNC Surface Wheel Lathe for wheelsets removed from the vehicle – models YSL-08, YSL-12 and YSL-21</t>
        </is>
      </c>
      <c r="I16" s="17" t="inlineStr">
        <is>
          <t>What is the CNC Surface Wheel Lathe? | Why choose the YSL series? | Technical data | YSL-08 | YSL-12 | YSL-21 | How a removed wheelset is re-profiled | Main features | Where a surface lathe makes sense | From layout to lifetime service | Project photographs | Frequently asked questions</t>
        </is>
      </c>
      <c r="J16" s="17" t="inlineStr">
        <is>
          <t>Product video, Catalogue download (form-gated), On-page sub-navigation, Specification table, Image gallery + lightbox, FAQ accordion</t>
        </is>
      </c>
      <c r="K16" s="17" t="inlineStr">
        <is>
          <t>Yes</t>
        </is>
      </c>
      <c r="L16" s="17" t="inlineStr">
        <is>
          <t>Yes</t>
        </is>
      </c>
      <c r="M16" s="17" t="inlineStr">
        <is>
          <t>Yes</t>
        </is>
      </c>
      <c r="N16" s="17" t="inlineStr">
        <is>
          <t>No</t>
        </is>
      </c>
      <c r="O16" s="17" t="inlineStr"/>
    </row>
    <row r="17">
      <c r="A17" s="17" t="n">
        <v>16</v>
      </c>
      <c r="B17" s="17" t="inlineStr">
        <is>
          <t>Level 2 – Sub page</t>
        </is>
      </c>
      <c r="C17" s="17" t="inlineStr">
        <is>
          <t>Products</t>
        </is>
      </c>
      <c r="D17" s="17" t="inlineStr">
        <is>
          <t>Products</t>
        </is>
      </c>
      <c r="E17" s="17" t="inlineStr">
        <is>
          <t xml:space="preserve">    CNC Underfloor Wheel Lathe (YUL-08)</t>
        </is>
      </c>
      <c r="F17" s="17" t="inlineStr">
        <is>
          <t>https://hytengineering.com/underfloor-wheel-lathe/</t>
        </is>
      </c>
      <c r="G17" s="17" t="inlineStr">
        <is>
          <t>Product page</t>
        </is>
      </c>
      <c r="H17" s="17" t="inlineStr">
        <is>
          <t>CNC Underfloor Wheel Lathe YUL-08 – single-axle re-profiling without bogie removal</t>
        </is>
      </c>
      <c r="I17" s="17" t="inlineStr">
        <is>
          <t>What is the CNC Underfloor Wheel Lathe? | Why choose the YUL-08? | Technical data | From arrival to departure in six steps | Main features | Where the YUL-08 works best | Supported from foundation drawing to final overhaul | Project photographs | Frequently asked questions</t>
        </is>
      </c>
      <c r="J17" s="17" t="inlineStr">
        <is>
          <t>Product video, Catalogue download (form-gated), On-page sub-navigation, Specification table, Image gallery + lightbox, FAQ accordion</t>
        </is>
      </c>
      <c r="K17" s="17" t="inlineStr">
        <is>
          <t>Yes</t>
        </is>
      </c>
      <c r="L17" s="17" t="inlineStr">
        <is>
          <t>Yes</t>
        </is>
      </c>
      <c r="M17" s="17" t="inlineStr">
        <is>
          <t>Yes</t>
        </is>
      </c>
      <c r="N17" s="17" t="inlineStr">
        <is>
          <t>No</t>
        </is>
      </c>
      <c r="O17" s="17" t="inlineStr"/>
    </row>
    <row r="18">
      <c r="A18" s="17" t="n">
        <v>17</v>
      </c>
      <c r="B18" s="17" t="inlineStr">
        <is>
          <t>Level 2 – Sub page</t>
        </is>
      </c>
      <c r="C18" s="17" t="inlineStr">
        <is>
          <t>Products</t>
        </is>
      </c>
      <c r="D18" s="17" t="inlineStr">
        <is>
          <t>Products</t>
        </is>
      </c>
      <c r="E18" s="17" t="inlineStr">
        <is>
          <t xml:space="preserve">    CNC Underfloor Wheel Lathe (YUGL)</t>
        </is>
      </c>
      <c r="F18" s="17" t="inlineStr">
        <is>
          <t>https://hytengineering.com/underfloor-wheel-lathe-yugl/</t>
        </is>
      </c>
      <c r="G18" s="17" t="inlineStr">
        <is>
          <t>Product page</t>
        </is>
      </c>
      <c r="H18" s="17" t="inlineStr">
        <is>
          <t>CNC Underfloor Wheel Lathe YUGL – HYT's flagship for in-situ wheel reprofiling</t>
        </is>
      </c>
      <c r="I18" s="17" t="inlineStr">
        <is>
          <t>What is the CNC Underfloor Wheel Lathe? | Why choose the YUGL? | Technical data | An underfloor cycle with fewer manual steps | Main features | Where the YUGL fits | Planning an automated underfloor lathe | Project photographs | Frequently asked questions</t>
        </is>
      </c>
      <c r="J18" s="17" t="inlineStr">
        <is>
          <t>Product video, Catalogue download (form-gated), On-page sub-navigation, Specification table, Image gallery + lightbox, FAQ accordion</t>
        </is>
      </c>
      <c r="K18" s="17" t="inlineStr">
        <is>
          <t>Yes</t>
        </is>
      </c>
      <c r="L18" s="17" t="inlineStr">
        <is>
          <t>No</t>
        </is>
      </c>
      <c r="M18" s="17" t="inlineStr">
        <is>
          <t>Yes</t>
        </is>
      </c>
      <c r="N18" s="17" t="inlineStr">
        <is>
          <t>No</t>
        </is>
      </c>
      <c r="O18" s="17" t="inlineStr"/>
    </row>
    <row r="19">
      <c r="A19" s="17" t="n">
        <v>18</v>
      </c>
      <c r="B19" s="17" t="inlineStr">
        <is>
          <t>Level 2 – Sub page</t>
        </is>
      </c>
      <c r="C19" s="17" t="inlineStr">
        <is>
          <t>Products</t>
        </is>
      </c>
      <c r="D19" s="17" t="inlineStr">
        <is>
          <t>Products</t>
        </is>
      </c>
      <c r="E19" s="17" t="inlineStr">
        <is>
          <t xml:space="preserve">    CNC Tandem Underfloor Wheel Lathe (YUL-12T)</t>
        </is>
      </c>
      <c r="F19" s="17" t="inlineStr">
        <is>
          <t>https://hytengineering.com/tandem-underfloor-wheel-lathe/</t>
        </is>
      </c>
      <c r="G19" s="17" t="inlineStr">
        <is>
          <t>Product page</t>
        </is>
      </c>
      <c r="H19" s="17" t="inlineStr">
        <is>
          <t>CNC Tandem Underfloor Wheel Lathe YUL-12T – both wheelsets of a bogie in one setting</t>
        </is>
      </c>
      <c r="I19" s="17" t="inlineStr">
        <is>
          <t>What is the CNC Tandem Underfloor Wheel Lathe? | Why choose the YUL-12T? | Technical data | One bogie, one cycle | Main features | Where a tandem lathe pays off | Two machines, one point of responsibility | Project photographs | Frequently asked questions</t>
        </is>
      </c>
      <c r="J19" s="17" t="inlineStr">
        <is>
          <t>Product video, Catalogue download (form-gated), On-page sub-navigation, Specification table, Image gallery + lightbox, FAQ accordion</t>
        </is>
      </c>
      <c r="K19" s="17" t="inlineStr">
        <is>
          <t>Yes</t>
        </is>
      </c>
      <c r="L19" s="17" t="inlineStr">
        <is>
          <t>Yes</t>
        </is>
      </c>
      <c r="M19" s="17" t="inlineStr">
        <is>
          <t>Yes</t>
        </is>
      </c>
      <c r="N19" s="17" t="inlineStr">
        <is>
          <t>No</t>
        </is>
      </c>
      <c r="O19" s="17" t="inlineStr"/>
    </row>
    <row r="20">
      <c r="A20" s="17" t="n">
        <v>19</v>
      </c>
      <c r="B20" s="17" t="inlineStr">
        <is>
          <t>Level 2 – Sub page</t>
        </is>
      </c>
      <c r="C20" s="17" t="inlineStr">
        <is>
          <t>Products</t>
        </is>
      </c>
      <c r="D20" s="17" t="inlineStr">
        <is>
          <t>Products</t>
        </is>
      </c>
      <c r="E20" s="17" t="inlineStr">
        <is>
          <t xml:space="preserve">    CNC Tandem Underfloor Wheel Lathe (YUGLX)</t>
        </is>
      </c>
      <c r="F20" s="17" t="inlineStr">
        <is>
          <t>https://hytengineering.com/tandem-underfloor-wheel-lathe-yuglx/</t>
        </is>
      </c>
      <c r="G20" s="17" t="inlineStr">
        <is>
          <t>Product page</t>
        </is>
      </c>
      <c r="H20" s="17" t="inlineStr">
        <is>
          <t>CNC Tandem Underfloor Wheel Lathe YUGLX – two synchronised lathes for complete coaches and locomotives</t>
        </is>
      </c>
      <c r="I20" s="17" t="inlineStr">
        <is>
          <t>What is the CNC Tandem Underfloor Wheel Lathe? | Why choose the YUGLX? | Technical data | Automated tandem cycle | Main features | Where the YUGLX fits | From pit design to data integration | Project photographs | Frequently asked questions</t>
        </is>
      </c>
      <c r="J20" s="17" t="inlineStr">
        <is>
          <t>Product video, Catalogue download (form-gated), On-page sub-navigation, Specification table, Image gallery + lightbox, FAQ accordion</t>
        </is>
      </c>
      <c r="K20" s="17" t="inlineStr">
        <is>
          <t>Yes</t>
        </is>
      </c>
      <c r="L20" s="17" t="inlineStr">
        <is>
          <t>No</t>
        </is>
      </c>
      <c r="M20" s="17" t="inlineStr">
        <is>
          <t>Yes</t>
        </is>
      </c>
      <c r="N20" s="17" t="inlineStr">
        <is>
          <t>No</t>
        </is>
      </c>
      <c r="O20" s="17" t="inlineStr"/>
    </row>
    <row r="21">
      <c r="A21" s="17" t="n">
        <v>20</v>
      </c>
      <c r="B21" s="17" t="inlineStr">
        <is>
          <t>Level 2 – Sub page</t>
        </is>
      </c>
      <c r="C21" s="17" t="inlineStr">
        <is>
          <t>Products</t>
        </is>
      </c>
      <c r="D21" s="17" t="inlineStr">
        <is>
          <t>Products</t>
        </is>
      </c>
      <c r="E21" s="17" t="inlineStr">
        <is>
          <t xml:space="preserve">    CNC Portal Wheel Lathe</t>
        </is>
      </c>
      <c r="F21" s="17" t="inlineStr">
        <is>
          <t>https://hytengineering.com/portal-wheel-lathe/</t>
        </is>
      </c>
      <c r="G21" s="17" t="inlineStr">
        <is>
          <t>Product page</t>
        </is>
      </c>
      <c r="H21" s="17" t="inlineStr">
        <is>
          <t>CNC Portal Wheel Lathe YPL-02 for wheelsets removed from the vehicle</t>
        </is>
      </c>
      <c r="I21" s="17" t="inlineStr">
        <is>
          <t>What is the CNC Portal Wheel Lathe? | Why choose the YPL-02? | Technical data | From worn wheelset to restored profile | Main features | Where the YPL-02 works best | Engineered into your wheel shop | Project photographs | Frequently asked questions</t>
        </is>
      </c>
      <c r="J21" s="17" t="inlineStr">
        <is>
          <t>Product video, Catalogue download (form-gated), On-page sub-navigation, Specification table, Image gallery + lightbox, FAQ accordion</t>
        </is>
      </c>
      <c r="K21" s="17" t="inlineStr">
        <is>
          <t>Yes</t>
        </is>
      </c>
      <c r="L21" s="17" t="inlineStr">
        <is>
          <t>Yes</t>
        </is>
      </c>
      <c r="M21" s="17" t="inlineStr">
        <is>
          <t>Yes</t>
        </is>
      </c>
      <c r="N21" s="17" t="inlineStr">
        <is>
          <t>No</t>
        </is>
      </c>
      <c r="O21" s="17" t="inlineStr"/>
    </row>
    <row r="22">
      <c r="A22" s="17" t="n">
        <v>21</v>
      </c>
      <c r="B22" s="17" t="inlineStr">
        <is>
          <t>Level 2 – Sub page</t>
        </is>
      </c>
      <c r="C22" s="17" t="inlineStr">
        <is>
          <t>Products</t>
        </is>
      </c>
      <c r="D22" s="17" t="inlineStr">
        <is>
          <t>Products</t>
        </is>
      </c>
      <c r="E22" s="17" t="inlineStr">
        <is>
          <t xml:space="preserve">    CNC Roller Type Portal Wheel Lathe</t>
        </is>
      </c>
      <c r="F22" s="17" t="inlineStr">
        <is>
          <t>https://hytengineering.com/roller-type-portal-wheel-lathe/</t>
        </is>
      </c>
      <c r="G22" s="17" t="inlineStr">
        <is>
          <t>Product page</t>
        </is>
      </c>
      <c r="H22" s="17" t="inlineStr">
        <is>
          <t>CNC Roller Type Portal Wheel Lathe YPL-04 – removed wheelsets supported and driven on rollers</t>
        </is>
      </c>
      <c r="I22" s="17" t="inlineStr">
        <is>
          <t>What is the CNC Roller Type Portal Wheel Lathe? | Why choose the YPL-04? | Technical data | How the YPL-04 works | Main features | Where the YPL-04 fits | Choosing between portal designs | Project photographs | Frequently asked questions</t>
        </is>
      </c>
      <c r="J22" s="17" t="inlineStr">
        <is>
          <t>Product video, Catalogue download (form-gated), On-page sub-navigation, Specification table, Image gallery + lightbox, FAQ accordion</t>
        </is>
      </c>
      <c r="K22" s="17" t="inlineStr">
        <is>
          <t>Yes</t>
        </is>
      </c>
      <c r="L22" s="17" t="inlineStr">
        <is>
          <t>No</t>
        </is>
      </c>
      <c r="M22" s="17" t="inlineStr">
        <is>
          <t>Yes</t>
        </is>
      </c>
      <c r="N22" s="17" t="inlineStr">
        <is>
          <t>No</t>
        </is>
      </c>
      <c r="O22" s="17" t="inlineStr"/>
    </row>
    <row r="23">
      <c r="A23" s="17" t="n">
        <v>22</v>
      </c>
      <c r="B23" s="17" t="inlineStr">
        <is>
          <t>Level 2 – Sub page</t>
        </is>
      </c>
      <c r="C23" s="17" t="inlineStr">
        <is>
          <t>Products</t>
        </is>
      </c>
      <c r="D23" s="17" t="inlineStr">
        <is>
          <t>Products</t>
        </is>
      </c>
      <c r="E23" s="17" t="inlineStr">
        <is>
          <t xml:space="preserve">    CNC Vertical Turning &amp; Boring Machine</t>
        </is>
      </c>
      <c r="F23" s="17" t="inlineStr">
        <is>
          <t>https://hytengineering.com/vertical-turning-boring-machine/</t>
        </is>
      </c>
      <c r="G23" s="17" t="inlineStr">
        <is>
          <t>Product page</t>
        </is>
      </c>
      <c r="H23" s="17" t="inlineStr">
        <is>
          <t>CNC Vertical Turning &amp; Boring Machine YVM-04 for railway wheels, tyres and hub bores</t>
        </is>
      </c>
      <c r="I23" s="17" t="inlineStr">
        <is>
          <t>What is the CNC Vertical Turning &amp; Boring Machine? | Why choose the YVM-04? | Technical data | From rough wheel to finished bore | Main features | Where the YVM-04 is used | Precision that lasts | Project photographs | Frequently asked questions</t>
        </is>
      </c>
      <c r="J23" s="17" t="inlineStr">
        <is>
          <t>Product video, Catalogue download (form-gated), On-page sub-navigation, Specification table, Image gallery + lightbox, FAQ accordion</t>
        </is>
      </c>
      <c r="K23" s="17" t="inlineStr">
        <is>
          <t>Yes</t>
        </is>
      </c>
      <c r="L23" s="17" t="inlineStr">
        <is>
          <t>Yes</t>
        </is>
      </c>
      <c r="M23" s="17" t="inlineStr">
        <is>
          <t>Yes</t>
        </is>
      </c>
      <c r="N23" s="17" t="inlineStr">
        <is>
          <t>No</t>
        </is>
      </c>
      <c r="O23" s="17" t="inlineStr"/>
    </row>
    <row r="24">
      <c r="A24" s="17" t="n">
        <v>23</v>
      </c>
      <c r="B24" s="17" t="inlineStr">
        <is>
          <t>Level 2 – Sub page</t>
        </is>
      </c>
      <c r="C24" s="17" t="inlineStr">
        <is>
          <t>Products</t>
        </is>
      </c>
      <c r="D24" s="17" t="inlineStr">
        <is>
          <t>Products</t>
        </is>
      </c>
      <c r="E24" s="17" t="inlineStr">
        <is>
          <t xml:space="preserve">    CNC Axle Journal Turning &amp; Burnishing Lathe</t>
        </is>
      </c>
      <c r="F24" s="17" t="inlineStr">
        <is>
          <t>https://hytengineering.com/axle-journal-turning-burnishing-lathe/</t>
        </is>
      </c>
      <c r="G24" s="17" t="inlineStr">
        <is>
          <t>Product page</t>
        </is>
      </c>
      <c r="H24" s="17" t="inlineStr">
        <is>
          <t>CNC Axle Journal Turning &amp; Burnishing Lathe YTB 04 for wheelset overhaul</t>
        </is>
      </c>
      <c r="I24" s="17" t="inlineStr">
        <is>
          <t>What is the CNC Axle Journal Turning &amp; Burnishing Lathe? | Why choose the YTB 04? | Technical data | Restoring a journal in six steps | Main features | Where it is used | Consistent journals, overhaul after overhaul | Project photographs | Frequently asked questions</t>
        </is>
      </c>
      <c r="J24" s="17" t="inlineStr">
        <is>
          <t>Product video, Catalogue download (form-gated), On-page sub-navigation, Specification table, Image gallery + lightbox, FAQ accordion</t>
        </is>
      </c>
      <c r="K24" s="17" t="inlineStr">
        <is>
          <t>Yes</t>
        </is>
      </c>
      <c r="L24" s="17" t="inlineStr">
        <is>
          <t>No</t>
        </is>
      </c>
      <c r="M24" s="17" t="inlineStr">
        <is>
          <t>Yes</t>
        </is>
      </c>
      <c r="N24" s="17" t="inlineStr">
        <is>
          <t>No</t>
        </is>
      </c>
      <c r="O24" s="17" t="inlineStr"/>
    </row>
    <row r="25">
      <c r="A25" s="17" t="n">
        <v>24</v>
      </c>
      <c r="B25" s="17" t="inlineStr">
        <is>
          <t>Level 2 – Sub page</t>
        </is>
      </c>
      <c r="C25" s="17" t="inlineStr">
        <is>
          <t>Products</t>
        </is>
      </c>
      <c r="D25" s="17" t="inlineStr">
        <is>
          <t>Products</t>
        </is>
      </c>
      <c r="E25" s="17" t="inlineStr">
        <is>
          <t xml:space="preserve">    CNC Axle Turning Lathe</t>
        </is>
      </c>
      <c r="F25" s="17" t="inlineStr">
        <is>
          <t>https://hytengineering.com/axle-turning-lathe/</t>
        </is>
      </c>
      <c r="G25" s="17" t="inlineStr">
        <is>
          <t>Product page</t>
        </is>
      </c>
      <c r="H25" s="17" t="inlineStr">
        <is>
          <t>CNC Axle Turning Lathe ATL-01 for roughing and finish machining of railway axles</t>
        </is>
      </c>
      <c r="I25" s="17" t="inlineStr">
        <is>
          <t>What is the CNC Axle Turning Lathe? | Why choose the ATL-01? | Technical data | From blank to finished contour | Main features | Who uses the ATL-01 | Part of a complete axle line | Project photographs | Frequently asked questions</t>
        </is>
      </c>
      <c r="J25" s="17" t="inlineStr">
        <is>
          <t>Product video, Catalogue download (form-gated), On-page sub-navigation, Specification table, Image gallery + lightbox, FAQ accordion</t>
        </is>
      </c>
      <c r="K25" s="17" t="inlineStr">
        <is>
          <t>Yes</t>
        </is>
      </c>
      <c r="L25" s="17" t="inlineStr">
        <is>
          <t>No</t>
        </is>
      </c>
      <c r="M25" s="17" t="inlineStr">
        <is>
          <t>Yes</t>
        </is>
      </c>
      <c r="N25" s="17" t="inlineStr">
        <is>
          <t>No</t>
        </is>
      </c>
      <c r="O25" s="17" t="inlineStr"/>
    </row>
    <row r="26">
      <c r="A26" s="17" t="n">
        <v>25</v>
      </c>
      <c r="B26" s="17" t="inlineStr">
        <is>
          <t>Level 2 – Sub page</t>
        </is>
      </c>
      <c r="C26" s="17" t="inlineStr">
        <is>
          <t>Products</t>
        </is>
      </c>
      <c r="D26" s="17" t="inlineStr">
        <is>
          <t>Products</t>
        </is>
      </c>
      <c r="E26" s="17" t="inlineStr">
        <is>
          <t xml:space="preserve">    Wheel Press</t>
        </is>
      </c>
      <c r="F26" s="17" t="inlineStr">
        <is>
          <t>https://hytengineering.com/wheel-presses/</t>
        </is>
      </c>
      <c r="G26" s="17" t="inlineStr">
        <is>
          <t>Product page</t>
        </is>
      </c>
      <c r="H26" s="17" t="inlineStr">
        <is>
          <t>Wheel Press for mounting and dismounting railway wheelsets</t>
        </is>
      </c>
      <c r="I26" s="17" t="inlineStr">
        <is>
          <t>Making and breaking the interference fit | What a good press-fit needs | Technical specifications | Mounting a wheel, step by step | Main features | Where wheel presses are needed | A press you can rely on | Project photographs | Frequently asked questions</t>
        </is>
      </c>
      <c r="J26" s="17" t="inlineStr">
        <is>
          <t>Product video, Catalogue download (form-gated), On-page sub-navigation, Specification table, Image gallery + lightbox, FAQ accordion</t>
        </is>
      </c>
      <c r="K26" s="17" t="inlineStr">
        <is>
          <t>Yes</t>
        </is>
      </c>
      <c r="L26" s="17" t="inlineStr">
        <is>
          <t>No</t>
        </is>
      </c>
      <c r="M26" s="17" t="inlineStr">
        <is>
          <t>Yes</t>
        </is>
      </c>
      <c r="N26" s="17" t="inlineStr">
        <is>
          <t>No</t>
        </is>
      </c>
      <c r="O26" s="17" t="inlineStr"/>
    </row>
    <row r="27">
      <c r="A27" s="17" t="n">
        <v>26</v>
      </c>
      <c r="B27" s="17" t="inlineStr">
        <is>
          <t>Level 2 – Sub page</t>
        </is>
      </c>
      <c r="C27" s="17" t="inlineStr">
        <is>
          <t>Products</t>
        </is>
      </c>
      <c r="D27" s="17" t="inlineStr">
        <is>
          <t>Products</t>
        </is>
      </c>
      <c r="E27" s="17" t="inlineStr">
        <is>
          <t xml:space="preserve">    Wheel Measuring Station</t>
        </is>
      </c>
      <c r="F27" s="17" t="inlineStr">
        <is>
          <t>https://hytengineering.com/wheel-measuring-station/</t>
        </is>
      </c>
      <c r="G27" s="17" t="inlineStr">
        <is>
          <t>Product page</t>
        </is>
      </c>
      <c r="H27" s="17" t="inlineStr">
        <is>
          <t>Wheel Measuring Station for fast, traceable wheelset inspection</t>
        </is>
      </c>
      <c r="I27" s="17" t="inlineStr">
        <is>
          <t>Decisions start with measurement | Why measure automatically | Technical specifications | One cycle, a complete record | Main features | Where measurement adds value | Measurements you can trust | Project photographs | Frequently asked questions</t>
        </is>
      </c>
      <c r="J27" s="17" t="inlineStr">
        <is>
          <t>Product video, Catalogue download (form-gated), On-page sub-navigation, Specification table, Image gallery + lightbox, FAQ accordion</t>
        </is>
      </c>
      <c r="K27" s="17" t="inlineStr">
        <is>
          <t>Yes</t>
        </is>
      </c>
      <c r="L27" s="17" t="inlineStr">
        <is>
          <t>No</t>
        </is>
      </c>
      <c r="M27" s="17" t="inlineStr">
        <is>
          <t>Yes</t>
        </is>
      </c>
      <c r="N27" s="17" t="inlineStr">
        <is>
          <t>No</t>
        </is>
      </c>
      <c r="O27" s="17" t="inlineStr"/>
    </row>
    <row r="28">
      <c r="A28" s="17" t="n">
        <v>27</v>
      </c>
      <c r="B28" s="17" t="inlineStr">
        <is>
          <t>Level 2 – Sub page</t>
        </is>
      </c>
      <c r="C28" s="17" t="inlineStr">
        <is>
          <t>Products</t>
        </is>
      </c>
      <c r="D28" s="17" t="inlineStr">
        <is>
          <t>Products</t>
        </is>
      </c>
      <c r="E28" s="17" t="inlineStr">
        <is>
          <t xml:space="preserve">    Dynamic Wheel Balancing Machine</t>
        </is>
      </c>
      <c r="F28" s="17" t="inlineStr">
        <is>
          <t>https://hytengineering.com/dynamic-wheel-balancing-machine/</t>
        </is>
      </c>
      <c r="G28" s="17" t="inlineStr">
        <is>
          <t>Product page</t>
        </is>
      </c>
      <c r="H28" s="17" t="inlineStr">
        <is>
          <t>Dynamic Wheel Balancing Machine for railway wheels and wheelsets</t>
        </is>
      </c>
      <c r="I28" s="17" t="inlineStr">
        <is>
          <t>Why balance matters as speed rises | What balancing delivers | Technical specifications | From measurement to correction | Main features | Where balancing is applied | Calibrated and supported | Project photographs | Frequently asked questions</t>
        </is>
      </c>
      <c r="J28" s="17" t="inlineStr">
        <is>
          <t>Product video, Catalogue download (form-gated), On-page sub-navigation, Specification table, Image gallery + lightbox, FAQ accordion</t>
        </is>
      </c>
      <c r="K28" s="17" t="inlineStr">
        <is>
          <t>Yes</t>
        </is>
      </c>
      <c r="L28" s="17" t="inlineStr">
        <is>
          <t>No</t>
        </is>
      </c>
      <c r="M28" s="17" t="inlineStr">
        <is>
          <t>Yes</t>
        </is>
      </c>
      <c r="N28" s="17" t="inlineStr">
        <is>
          <t>No</t>
        </is>
      </c>
      <c r="O28" s="17" t="inlineStr"/>
    </row>
    <row r="29">
      <c r="A29" s="17" t="n">
        <v>28</v>
      </c>
      <c r="B29" s="17" t="inlineStr">
        <is>
          <t>Level 2 – Sub page</t>
        </is>
      </c>
      <c r="C29" s="17" t="inlineStr">
        <is>
          <t>Products</t>
        </is>
      </c>
      <c r="D29" s="17" t="inlineStr">
        <is>
          <t>Products</t>
        </is>
      </c>
      <c r="E29" s="17" t="inlineStr">
        <is>
          <t xml:space="preserve">    Multipurpose Armature Machine</t>
        </is>
      </c>
      <c r="F29" s="17" t="inlineStr">
        <is>
          <t>https://hytengineering.com/multi-purpose-armature-machine/</t>
        </is>
      </c>
      <c r="G29" s="17" t="inlineStr">
        <is>
          <t>Product page</t>
        </is>
      </c>
      <c r="H29" s="17" t="inlineStr">
        <is>
          <t>Multipurpose Armature Machine YMM-04 for traction-motor armature reconditioning</t>
        </is>
      </c>
      <c r="I29" s="17" t="inlineStr">
        <is>
          <t>What is the Multipurpose Armature Machine? | Why choose the YMM-04? | Technical data | Typical armature overhaul sequence | Main features | Where the machine is used | Set up for your motors | Project photographs | Frequently asked questions</t>
        </is>
      </c>
      <c r="J29" s="17" t="inlineStr">
        <is>
          <t>Product video, Catalogue download (form-gated), On-page sub-navigation, Specification table, Image gallery + lightbox, FAQ accordion</t>
        </is>
      </c>
      <c r="K29" s="17" t="inlineStr">
        <is>
          <t>Yes</t>
        </is>
      </c>
      <c r="L29" s="17" t="inlineStr">
        <is>
          <t>No</t>
        </is>
      </c>
      <c r="M29" s="17" t="inlineStr">
        <is>
          <t>Yes</t>
        </is>
      </c>
      <c r="N29" s="17" t="inlineStr">
        <is>
          <t>No</t>
        </is>
      </c>
      <c r="O29" s="17" t="inlineStr"/>
    </row>
    <row r="30">
      <c r="A30" s="17" t="n">
        <v>29</v>
      </c>
      <c r="B30" s="17" t="inlineStr">
        <is>
          <t>Level 2 – Sub page</t>
        </is>
      </c>
      <c r="C30" s="17" t="inlineStr">
        <is>
          <t>Products</t>
        </is>
      </c>
      <c r="D30" s="17" t="inlineStr">
        <is>
          <t>Products</t>
        </is>
      </c>
      <c r="E30" s="17" t="inlineStr">
        <is>
          <t xml:space="preserve">    Automated Train Washing Plant</t>
        </is>
      </c>
      <c r="F30" s="17" t="inlineStr">
        <is>
          <t>https://hytengineering.com/automated-train-washing-plant/</t>
        </is>
      </c>
      <c r="G30" s="17" t="inlineStr">
        <is>
          <t>Product page</t>
        </is>
      </c>
      <c r="H30" s="17" t="inlineStr">
        <is>
          <t>Automated Train Washing Plant for drive-through exterior cleaning</t>
        </is>
      </c>
      <c r="I30" s="17" t="inlineStr">
        <is>
          <t>What is the Automated Train Washing Plant? | Why choose the Automated Train Washing Plant? | Technical data | What happens as a train passes through | Main features | Where washing plants are installed | Designed, built and maintained for your depot | Project photographs | Frequently asked questions</t>
        </is>
      </c>
      <c r="J30" s="17" t="inlineStr">
        <is>
          <t>Product video, Catalogue download (form-gated), On-page sub-navigation, Specification table, Image gallery + lightbox, FAQ accordion</t>
        </is>
      </c>
      <c r="K30" s="17" t="inlineStr">
        <is>
          <t>Yes</t>
        </is>
      </c>
      <c r="L30" s="17" t="inlineStr">
        <is>
          <t>No</t>
        </is>
      </c>
      <c r="M30" s="17" t="inlineStr">
        <is>
          <t>Yes</t>
        </is>
      </c>
      <c r="N30" s="17" t="inlineStr">
        <is>
          <t>No</t>
        </is>
      </c>
      <c r="O30" s="17" t="inlineStr"/>
    </row>
    <row r="31">
      <c r="A31" s="17" t="n">
        <v>30</v>
      </c>
      <c r="B31" s="17" t="inlineStr">
        <is>
          <t>Level 2 – Sub page</t>
        </is>
      </c>
      <c r="C31" s="17" t="inlineStr">
        <is>
          <t>Products</t>
        </is>
      </c>
      <c r="D31" s="17" t="inlineStr">
        <is>
          <t>Products</t>
        </is>
      </c>
      <c r="E31" s="17" t="inlineStr">
        <is>
          <t xml:space="preserve">    Rail cum Road Vehicle (Shunter)</t>
        </is>
      </c>
      <c r="F31" s="17" t="inlineStr">
        <is>
          <t>https://hytengineering.com/rail-cum-road-vehicle-shunter/</t>
        </is>
      </c>
      <c r="G31" s="17" t="inlineStr">
        <is>
          <t>Product page</t>
        </is>
      </c>
      <c r="H31" s="17" t="inlineStr">
        <is>
          <t>Rail Cum Road Vehicle Shunter KRE 15 RCRV – battery-powered shunting on rail and road</t>
        </is>
      </c>
      <c r="I31" s="17" t="inlineStr">
        <is>
          <t>What is the Rail Cum Road Vehicle Shunter? | Why choose the KRE 15 RCRV? | Technical data | A typical shunting move | Main features | Where shunters are used | Configured for your depot | Project photographs | Frequently asked questions</t>
        </is>
      </c>
      <c r="J31" s="17" t="inlineStr">
        <is>
          <t>Product video, Catalogue download (form-gated), On-page sub-navigation, Specification table, Image gallery + lightbox, FAQ accordion</t>
        </is>
      </c>
      <c r="K31" s="17" t="inlineStr">
        <is>
          <t>Yes</t>
        </is>
      </c>
      <c r="L31" s="17" t="inlineStr">
        <is>
          <t>No</t>
        </is>
      </c>
      <c r="M31" s="17" t="inlineStr">
        <is>
          <t>Yes</t>
        </is>
      </c>
      <c r="N31" s="17" t="inlineStr">
        <is>
          <t>No</t>
        </is>
      </c>
      <c r="O31" s="17" t="inlineStr"/>
    </row>
    <row r="32">
      <c r="A32" s="17" t="n">
        <v>31</v>
      </c>
      <c r="B32" s="17" t="inlineStr">
        <is>
          <t>Level 2 – Sub page</t>
        </is>
      </c>
      <c r="C32" s="17" t="inlineStr">
        <is>
          <t>Products</t>
        </is>
      </c>
      <c r="D32" s="17" t="inlineStr">
        <is>
          <t>Products</t>
        </is>
      </c>
      <c r="E32" s="17" t="inlineStr">
        <is>
          <t xml:space="preserve">    SKC Gleittechnik (Germany)</t>
        </is>
      </c>
      <c r="F32" s="17" t="inlineStr">
        <is>
          <t>https://hytengineering.com/skc-gleittechnik-gmbh-germany/</t>
        </is>
      </c>
      <c r="G32" s="17" t="inlineStr">
        <is>
          <t>Product page</t>
        </is>
      </c>
      <c r="H32" s="17" t="inlineStr">
        <is>
          <t>SKC Gleittechnik (Germany) – sliding technology, distributed exclusively in India by HYT</t>
        </is>
      </c>
      <c r="I32" s="17" t="inlineStr">
        <is>
          <t>Why sliding surfaces matter | What you gain from HYT as distributor | Product information | Sourcing SKC products through HYT | Typical areas of use | Who the partnership serves | Supplied and supported locally | Image gallery | Frequently asked questions</t>
        </is>
      </c>
      <c r="J32" s="17" t="inlineStr">
        <is>
          <t>Product video, Catalogue download (form-gated), On-page sub-navigation, Specification table, Image gallery + lightbox, FAQ accordion</t>
        </is>
      </c>
      <c r="K32" s="17" t="inlineStr">
        <is>
          <t>Yes</t>
        </is>
      </c>
      <c r="L32" s="17" t="inlineStr">
        <is>
          <t>No</t>
        </is>
      </c>
      <c r="M32" s="17" t="inlineStr">
        <is>
          <t>Yes</t>
        </is>
      </c>
      <c r="N32" s="17" t="inlineStr">
        <is>
          <t>Yes</t>
        </is>
      </c>
      <c r="O32" s="17" t="inlineStr"/>
    </row>
    <row r="33">
      <c r="A33" s="15" t="n">
        <v>32</v>
      </c>
      <c r="B33" s="16" t="inlineStr">
        <is>
          <t>Level 1 – Main page</t>
        </is>
      </c>
      <c r="C33" s="15" t="inlineStr">
        <is>
          <t>Turnkey Projects</t>
        </is>
      </c>
      <c r="D33" s="15" t="inlineStr">
        <is>
          <t>Home</t>
        </is>
      </c>
      <c r="E33" s="16" t="inlineStr">
        <is>
          <t>Turnkey Projects</t>
        </is>
      </c>
      <c r="F33" s="15" t="inlineStr">
        <is>
          <t>https://hytengineering.com/turnkey-project/</t>
        </is>
      </c>
      <c r="G33" s="15" t="inlineStr">
        <is>
          <t>Content page</t>
        </is>
      </c>
      <c r="H33" s="15" t="inlineStr">
        <is>
          <t>Turnkey (EPC) Projects for wheel shops and depots</t>
        </is>
      </c>
      <c r="I33" s="15" t="inlineStr">
        <is>
          <t>One partner from empty shed to running workshop | Facilities we design, equip and commission | What a turnkey wheel shop or depot project can include | How a turnkey project is delivered | Fewer interfaces, less risk, earlier output | See our work</t>
        </is>
      </c>
      <c r="J33" s="15" t="inlineStr"/>
      <c r="K33" s="15" t="inlineStr">
        <is>
          <t>Yes</t>
        </is>
      </c>
      <c r="L33" s="15" t="inlineStr">
        <is>
          <t>Yes</t>
        </is>
      </c>
      <c r="M33" s="15" t="inlineStr">
        <is>
          <t>Yes</t>
        </is>
      </c>
      <c r="N33" s="15" t="inlineStr">
        <is>
          <t>No</t>
        </is>
      </c>
      <c r="O33" s="15" t="inlineStr"/>
    </row>
    <row r="34">
      <c r="A34" s="17" t="n">
        <v>33</v>
      </c>
      <c r="B34" s="17" t="inlineStr">
        <is>
          <t>Level 2 – Sub page</t>
        </is>
      </c>
      <c r="C34" s="17" t="inlineStr">
        <is>
          <t>Turnkey Projects</t>
        </is>
      </c>
      <c r="D34" s="17" t="inlineStr">
        <is>
          <t>Turnkey Projects</t>
        </is>
      </c>
      <c r="E34" s="17" t="inlineStr">
        <is>
          <t xml:space="preserve">    Wheel Shops</t>
        </is>
      </c>
      <c r="F34" s="17" t="inlineStr">
        <is>
          <t>https://hytengineering.com/turnkey-project/wheel-shops/</t>
        </is>
      </c>
      <c r="G34" s="17" t="inlineStr">
        <is>
          <t>Content page</t>
        </is>
      </c>
      <c r="H34" s="17" t="inlineStr">
        <is>
          <t>Turnkey wheel shops – from worn wheelset to certified release</t>
        </is>
      </c>
      <c r="I34" s="17" t="inlineStr">
        <is>
          <t>Where worn wheelsets become serviceable again | Scope of a turnkey wheel shop | The stations of an HYT wheel shop | A wheelset's route through the overhaul shop | From separate machines to one connected process | Four elements of an automated wheel shop | The solution at a glance | Built around your fleet | Core equipment in the wheel shop | How we deliver a wheel shop | What a well-planned wheel shop gives you | Wheel shop questions</t>
        </is>
      </c>
      <c r="J34" s="17" t="inlineStr">
        <is>
          <t>Tall hero with action buttons, Interactive tabs, Project cards, FAQ accordion</t>
        </is>
      </c>
      <c r="K34" s="17" t="inlineStr">
        <is>
          <t>Yes</t>
        </is>
      </c>
      <c r="L34" s="17" t="inlineStr">
        <is>
          <t>No</t>
        </is>
      </c>
      <c r="M34" s="17" t="inlineStr">
        <is>
          <t>Yes</t>
        </is>
      </c>
      <c r="N34" s="17" t="inlineStr">
        <is>
          <t>Yes</t>
        </is>
      </c>
      <c r="O34" s="17" t="inlineStr"/>
    </row>
    <row r="35">
      <c r="A35" s="17" t="n">
        <v>34</v>
      </c>
      <c r="B35" s="17" t="inlineStr">
        <is>
          <t>Level 2 – Sub page</t>
        </is>
      </c>
      <c r="C35" s="17" t="inlineStr">
        <is>
          <t>Turnkey Projects</t>
        </is>
      </c>
      <c r="D35" s="17" t="inlineStr">
        <is>
          <t>Turnkey Projects</t>
        </is>
      </c>
      <c r="E35" s="17" t="inlineStr">
        <is>
          <t xml:space="preserve">    Railway Maintenance Depots</t>
        </is>
      </c>
      <c r="F35" s="17" t="inlineStr">
        <is>
          <t>https://hytengineering.com/turnkey-project/railway-maintenance-depots/</t>
        </is>
      </c>
      <c r="G35" s="17" t="inlineStr">
        <is>
          <t>Content page</t>
        </is>
      </c>
      <c r="H35" s="17" t="inlineStr">
        <is>
          <t>Turnkey equipment for railway maintenance depots</t>
        </is>
      </c>
      <c r="I35" s="17" t="inlineStr">
        <is>
          <t>Built around the hours a train is out of service | Depot systems under one contract | A train's visit to the depot | Equipment in the depot | Delivering a depot project | What the depot owner gains | Depot questions</t>
        </is>
      </c>
      <c r="J35" s="17" t="inlineStr">
        <is>
          <t>FAQ accordion</t>
        </is>
      </c>
      <c r="K35" s="17" t="inlineStr">
        <is>
          <t>Yes</t>
        </is>
      </c>
      <c r="L35" s="17" t="inlineStr">
        <is>
          <t>No</t>
        </is>
      </c>
      <c r="M35" s="17" t="inlineStr">
        <is>
          <t>Yes</t>
        </is>
      </c>
      <c r="N35" s="17" t="inlineStr">
        <is>
          <t>No</t>
        </is>
      </c>
      <c r="O35" s="17" t="inlineStr"/>
    </row>
    <row r="36">
      <c r="A36" s="17" t="n">
        <v>35</v>
      </c>
      <c r="B36" s="17" t="inlineStr">
        <is>
          <t>Level 2 – Sub page</t>
        </is>
      </c>
      <c r="C36" s="17" t="inlineStr">
        <is>
          <t>Turnkey Projects</t>
        </is>
      </c>
      <c r="D36" s="17" t="inlineStr">
        <is>
          <t>Turnkey Projects</t>
        </is>
      </c>
      <c r="E36" s="17" t="inlineStr">
        <is>
          <t xml:space="preserve">    Rolling Stock Manufacturing Facilities</t>
        </is>
      </c>
      <c r="F36" s="17" t="inlineStr">
        <is>
          <t>https://hytengineering.com/turnkey-project/rolling-stock-manufacturing-facilities/</t>
        </is>
      </c>
      <c r="G36" s="17" t="inlineStr">
        <is>
          <t>Content page</t>
        </is>
      </c>
      <c r="H36" s="17" t="inlineStr">
        <is>
          <t>Wheel and axle shops for rolling stock manufacturing facilities</t>
        </is>
      </c>
      <c r="I36" s="17" t="inlineStr">
        <is>
          <t>The wheelset supply inside a vehicle factory | Our part of the factory | From incoming parts to bogie assembly | Equipment in the wheel and axle shop | How we deliver it | Why factories use one partner for this shop | Questions from manufacturers</t>
        </is>
      </c>
      <c r="J36" s="17" t="inlineStr">
        <is>
          <t>FAQ accordion</t>
        </is>
      </c>
      <c r="K36" s="17" t="inlineStr">
        <is>
          <t>Yes</t>
        </is>
      </c>
      <c r="L36" s="17" t="inlineStr">
        <is>
          <t>No</t>
        </is>
      </c>
      <c r="M36" s="17" t="inlineStr">
        <is>
          <t>Yes</t>
        </is>
      </c>
      <c r="N36" s="17" t="inlineStr">
        <is>
          <t>Yes</t>
        </is>
      </c>
      <c r="O36" s="17" t="inlineStr"/>
    </row>
    <row r="37">
      <c r="A37" s="17" t="n">
        <v>36</v>
      </c>
      <c r="B37" s="17" t="inlineStr">
        <is>
          <t>Level 2 – Sub page</t>
        </is>
      </c>
      <c r="C37" s="17" t="inlineStr">
        <is>
          <t>Turnkey Projects</t>
        </is>
      </c>
      <c r="D37" s="17" t="inlineStr">
        <is>
          <t>Turnkey Projects</t>
        </is>
      </c>
      <c r="E37" s="17" t="inlineStr">
        <is>
          <t xml:space="preserve">    Wheelset Manufacturing Plants</t>
        </is>
      </c>
      <c r="F37" s="17" t="inlineStr">
        <is>
          <t>https://hytengineering.com/turnkey-project/wheelset-manufacturing-plants/</t>
        </is>
      </c>
      <c r="G37" s="17" t="inlineStr">
        <is>
          <t>Content page</t>
        </is>
      </c>
      <c r="H37" s="17" t="inlineStr">
        <is>
          <t>Turnkey plants for new wheelset manufacturing</t>
        </is>
      </c>
      <c r="I37" s="17" t="inlineStr">
        <is>
          <t>Producing wheelsets as a product | What a wheelset plant project includes | Station by station through a wheelset plant | Equipment in the plant | Delivering the plant | What the plant owner gains | Wheelset plant questions</t>
        </is>
      </c>
      <c r="J37" s="17" t="inlineStr">
        <is>
          <t>FAQ accordion</t>
        </is>
      </c>
      <c r="K37" s="17" t="inlineStr">
        <is>
          <t>Yes</t>
        </is>
      </c>
      <c r="L37" s="17" t="inlineStr">
        <is>
          <t>No</t>
        </is>
      </c>
      <c r="M37" s="17" t="inlineStr">
        <is>
          <t>Yes</t>
        </is>
      </c>
      <c r="N37" s="17" t="inlineStr">
        <is>
          <t>Yes</t>
        </is>
      </c>
      <c r="O37" s="17" t="inlineStr"/>
    </row>
    <row r="38">
      <c r="A38" s="17" t="n">
        <v>37</v>
      </c>
      <c r="B38" s="17" t="inlineStr">
        <is>
          <t>Level 2 – Sub page</t>
        </is>
      </c>
      <c r="C38" s="17" t="inlineStr">
        <is>
          <t>Turnkey Projects</t>
        </is>
      </c>
      <c r="D38" s="17" t="inlineStr">
        <is>
          <t>Turnkey Projects</t>
        </is>
      </c>
      <c r="E38" s="17" t="inlineStr">
        <is>
          <t xml:space="preserve">    Wheel Machining Lines</t>
        </is>
      </c>
      <c r="F38" s="17" t="inlineStr">
        <is>
          <t>https://hytengineering.com/turnkey-project/wheel-machining-lines/</t>
        </is>
      </c>
      <c r="G38" s="17" t="inlineStr">
        <is>
          <t>Content page</t>
        </is>
      </c>
      <c r="H38" s="17" t="inlineStr">
        <is>
          <t>Turnkey wheel machining lines</t>
        </is>
      </c>
      <c r="I38" s="17" t="inlineStr">
        <is>
          <t>A line, not a row of machines | Three things that make a wheel line work | Operations along the line | Equipment in the line | Delivering a wheel machining line | Outcomes for the line owner | Wheel line questions</t>
        </is>
      </c>
      <c r="J38" s="17" t="inlineStr">
        <is>
          <t>FAQ accordion</t>
        </is>
      </c>
      <c r="K38" s="17" t="inlineStr">
        <is>
          <t>Yes</t>
        </is>
      </c>
      <c r="L38" s="17" t="inlineStr">
        <is>
          <t>No</t>
        </is>
      </c>
      <c r="M38" s="17" t="inlineStr">
        <is>
          <t>Yes</t>
        </is>
      </c>
      <c r="N38" s="17" t="inlineStr">
        <is>
          <t>Yes</t>
        </is>
      </c>
      <c r="O38" s="17" t="inlineStr"/>
    </row>
    <row r="39">
      <c r="A39" s="17" t="n">
        <v>38</v>
      </c>
      <c r="B39" s="17" t="inlineStr">
        <is>
          <t>Level 2 – Sub page</t>
        </is>
      </c>
      <c r="C39" s="17" t="inlineStr">
        <is>
          <t>Turnkey Projects</t>
        </is>
      </c>
      <c r="D39" s="17" t="inlineStr">
        <is>
          <t>Turnkey Projects</t>
        </is>
      </c>
      <c r="E39" s="17" t="inlineStr">
        <is>
          <t xml:space="preserve">    Axle Machining Lines</t>
        </is>
      </c>
      <c r="F39" s="17" t="inlineStr">
        <is>
          <t>https://hytengineering.com/turnkey-project/axle-machining-lines/</t>
        </is>
      </c>
      <c r="G39" s="17" t="inlineStr">
        <is>
          <t>Content page</t>
        </is>
      </c>
      <c r="H39" s="17" t="inlineStr">
        <is>
          <t>Turnkey axle machining lines</t>
        </is>
      </c>
      <c r="I39" s="17" t="inlineStr">
        <is>
          <t>Two kinds of axle work, one line concept | Scope of an axle line | Typical sequence in an axle line | Equipment in the line | Delivering an axle line | What the line owner gains | Axle line questions</t>
        </is>
      </c>
      <c r="J39" s="17" t="inlineStr">
        <is>
          <t>FAQ accordion</t>
        </is>
      </c>
      <c r="K39" s="17" t="inlineStr">
        <is>
          <t>Yes</t>
        </is>
      </c>
      <c r="L39" s="17" t="inlineStr">
        <is>
          <t>No</t>
        </is>
      </c>
      <c r="M39" s="17" t="inlineStr">
        <is>
          <t>Yes</t>
        </is>
      </c>
      <c r="N39" s="17" t="inlineStr">
        <is>
          <t>Yes</t>
        </is>
      </c>
      <c r="O39" s="17" t="inlineStr"/>
    </row>
    <row r="40">
      <c r="A40" s="17" t="n">
        <v>39</v>
      </c>
      <c r="B40" s="17" t="inlineStr">
        <is>
          <t>Level 2 – Sub page</t>
        </is>
      </c>
      <c r="C40" s="17" t="inlineStr">
        <is>
          <t>Turnkey Projects</t>
        </is>
      </c>
      <c r="D40" s="17" t="inlineStr">
        <is>
          <t>Turnkey Projects</t>
        </is>
      </c>
      <c r="E40" s="17" t="inlineStr">
        <is>
          <t xml:space="preserve">    Executed Projects</t>
        </is>
      </c>
      <c r="F40" s="17" t="inlineStr">
        <is>
          <t>https://hytengineering.com/executed-projects/</t>
        </is>
      </c>
      <c r="G40" s="17" t="inlineStr">
        <is>
          <t>Content page</t>
        </is>
      </c>
      <c r="H40" s="17" t="inlineStr">
        <is>
          <t>Executed projects</t>
        </is>
      </c>
      <c r="I40" s="17" t="inlineStr">
        <is>
          <t>Machines at work in railway workshops | Executed projects</t>
        </is>
      </c>
      <c r="J40" s="17" t="inlineStr">
        <is>
          <t>Project cards</t>
        </is>
      </c>
      <c r="K40" s="17" t="inlineStr">
        <is>
          <t>Yes</t>
        </is>
      </c>
      <c r="L40" s="17" t="inlineStr">
        <is>
          <t>No</t>
        </is>
      </c>
      <c r="M40" s="17" t="inlineStr">
        <is>
          <t>Yes</t>
        </is>
      </c>
      <c r="N40" s="17" t="inlineStr">
        <is>
          <t>Yes</t>
        </is>
      </c>
      <c r="O40" s="17" t="inlineStr"/>
    </row>
    <row r="41">
      <c r="A41" s="17" t="n">
        <v>40</v>
      </c>
      <c r="B41" s="17" t="inlineStr">
        <is>
          <t>Level 2 – Sub page</t>
        </is>
      </c>
      <c r="C41" s="17" t="inlineStr">
        <is>
          <t>Turnkey Projects</t>
        </is>
      </c>
      <c r="D41" s="17" t="inlineStr">
        <is>
          <t>Turnkey Projects</t>
        </is>
      </c>
      <c r="E41" s="17" t="inlineStr">
        <is>
          <t xml:space="preserve">    Projects Under Execution</t>
        </is>
      </c>
      <c r="F41" s="17" t="inlineStr">
        <is>
          <t>https://hytengineering.com/under-execution/</t>
        </is>
      </c>
      <c r="G41" s="17" t="inlineStr">
        <is>
          <t>Content page</t>
        </is>
      </c>
      <c r="H41" s="17" t="inlineStr">
        <is>
          <t>Projects under execution</t>
        </is>
      </c>
      <c r="I41" s="17" t="inlineStr">
        <is>
          <t>Machines for high-frequency urban fleets | Projects under execution</t>
        </is>
      </c>
      <c r="J41" s="17" t="inlineStr">
        <is>
          <t>Project cards</t>
        </is>
      </c>
      <c r="K41" s="17" t="inlineStr">
        <is>
          <t>Yes</t>
        </is>
      </c>
      <c r="L41" s="17" t="inlineStr">
        <is>
          <t>No</t>
        </is>
      </c>
      <c r="M41" s="17" t="inlineStr">
        <is>
          <t>Yes</t>
        </is>
      </c>
      <c r="N41" s="17" t="inlineStr">
        <is>
          <t>Yes</t>
        </is>
      </c>
      <c r="O41" s="17" t="inlineStr"/>
    </row>
    <row r="42">
      <c r="A42" s="15" t="n">
        <v>41</v>
      </c>
      <c r="B42" s="16" t="inlineStr">
        <is>
          <t>Level 1 – Main page</t>
        </is>
      </c>
      <c r="C42" s="15" t="inlineStr">
        <is>
          <t>Services</t>
        </is>
      </c>
      <c r="D42" s="15" t="inlineStr">
        <is>
          <t>Home</t>
        </is>
      </c>
      <c r="E42" s="16" t="inlineStr">
        <is>
          <t>Services</t>
        </is>
      </c>
      <c r="F42" s="15" t="inlineStr">
        <is>
          <t>https://hytengineering.com/services/</t>
        </is>
      </c>
      <c r="G42" s="15" t="inlineStr">
        <is>
          <t>Content page</t>
        </is>
      </c>
      <c r="H42" s="15" t="inlineStr">
        <is>
          <t>Services that keep railway machine tools productive for life</t>
        </is>
      </c>
      <c r="I42" s="15" t="inlineStr">
        <is>
          <t>When the wheel lathe stops, trains wait | Choose the support your workshop needs | Six ways to contract maintenance | How we support you across the machine life cycle | What you can expect from HYT service</t>
        </is>
      </c>
      <c r="J42" s="15" t="inlineStr"/>
      <c r="K42" s="15" t="inlineStr">
        <is>
          <t>Yes</t>
        </is>
      </c>
      <c r="L42" s="15" t="inlineStr">
        <is>
          <t>Yes</t>
        </is>
      </c>
      <c r="M42" s="15" t="inlineStr">
        <is>
          <t>Yes</t>
        </is>
      </c>
      <c r="N42" s="15" t="inlineStr">
        <is>
          <t>No</t>
        </is>
      </c>
      <c r="O42" s="15" t="inlineStr"/>
    </row>
    <row r="43">
      <c r="A43" s="17" t="n">
        <v>42</v>
      </c>
      <c r="B43" s="17" t="inlineStr">
        <is>
          <t>Level 2 – Sub page</t>
        </is>
      </c>
      <c r="C43" s="17" t="inlineStr">
        <is>
          <t>Services</t>
        </is>
      </c>
      <c r="D43" s="17" t="inlineStr">
        <is>
          <t>Services</t>
        </is>
      </c>
      <c r="E43" s="17" t="inlineStr">
        <is>
          <t xml:space="preserve">    Installation &amp; Commissioning</t>
        </is>
      </c>
      <c r="F43" s="17" t="inlineStr">
        <is>
          <t>https://hytengineering.com/installation-commissioning/</t>
        </is>
      </c>
      <c r="G43" s="17" t="inlineStr">
        <is>
          <t>Content page</t>
        </is>
      </c>
      <c r="H43" s="17" t="inlineStr">
        <is>
          <t>Installation and commissioning of railway machine tools</t>
        </is>
      </c>
      <c r="I43" s="17" t="inlineStr">
        <is>
          <t>Accuracy starts with the foundation | From delivery to handover in seven steps | Who does what | What you receive at handover | Installing without stopping the workshop | Frequently asked questions</t>
        </is>
      </c>
      <c r="J43" s="17" t="inlineStr">
        <is>
          <t>FAQ accordion</t>
        </is>
      </c>
      <c r="K43" s="17" t="inlineStr">
        <is>
          <t>Yes</t>
        </is>
      </c>
      <c r="L43" s="17" t="inlineStr">
        <is>
          <t>Yes</t>
        </is>
      </c>
      <c r="M43" s="17" t="inlineStr">
        <is>
          <t>Yes</t>
        </is>
      </c>
      <c r="N43" s="17" t="inlineStr">
        <is>
          <t>No</t>
        </is>
      </c>
      <c r="O43" s="17" t="inlineStr"/>
    </row>
    <row r="44">
      <c r="A44" s="17" t="n">
        <v>43</v>
      </c>
      <c r="B44" s="17" t="inlineStr">
        <is>
          <t>Level 2 – Sub page</t>
        </is>
      </c>
      <c r="C44" s="17" t="inlineStr">
        <is>
          <t>Services</t>
        </is>
      </c>
      <c r="D44" s="17" t="inlineStr">
        <is>
          <t>Services</t>
        </is>
      </c>
      <c r="E44" s="17" t="inlineStr">
        <is>
          <t xml:space="preserve">    Maintenance Services</t>
        </is>
      </c>
      <c r="F44" s="17" t="inlineStr">
        <is>
          <t>https://hytengineering.com/maintenance/</t>
        </is>
      </c>
      <c r="G44" s="17" t="inlineStr">
        <is>
          <t>Content page</t>
        </is>
      </c>
      <c r="H44" s="17" t="inlineStr">
        <is>
          <t>Maintenance services and contracts</t>
        </is>
      </c>
      <c r="I44" s="17" t="inlineStr">
        <is>
          <t>Planned maintenance costs less than downtime | Our maintenance services | Contract types compared | Which contract is right for us?</t>
        </is>
      </c>
      <c r="J44" s="17" t="inlineStr">
        <is>
          <t>FAQ accordion</t>
        </is>
      </c>
      <c r="K44" s="17" t="inlineStr">
        <is>
          <t>Yes</t>
        </is>
      </c>
      <c r="L44" s="17" t="inlineStr">
        <is>
          <t>No</t>
        </is>
      </c>
      <c r="M44" s="17" t="inlineStr">
        <is>
          <t>Yes</t>
        </is>
      </c>
      <c r="N44" s="17" t="inlineStr">
        <is>
          <t>No</t>
        </is>
      </c>
      <c r="O44" s="17" t="inlineStr"/>
    </row>
    <row r="45">
      <c r="A45" s="18" t="n">
        <v>44</v>
      </c>
      <c r="B45" s="18" t="inlineStr">
        <is>
          <t>Level 3 – Sub-sub page</t>
        </is>
      </c>
      <c r="C45" s="18" t="inlineStr">
        <is>
          <t>Services</t>
        </is>
      </c>
      <c r="D45" s="18" t="inlineStr">
        <is>
          <t>Maintenance Services</t>
        </is>
      </c>
      <c r="E45" s="18" t="inlineStr">
        <is>
          <t xml:space="preserve">        Operation &amp; Maintenance (O&amp;M)</t>
        </is>
      </c>
      <c r="F45" s="18" t="inlineStr">
        <is>
          <t>https://hytengineering.com/operation-and-maintenance/</t>
        </is>
      </c>
      <c r="G45" s="18" t="inlineStr">
        <is>
          <t>Content page</t>
        </is>
      </c>
      <c r="H45" s="18" t="inlineStr">
        <is>
          <t>Operation &amp; Maintenance (O&amp;M) contracts for wheel lathes</t>
        </is>
      </c>
      <c r="I45" s="18" t="inlineStr">
        <is>
          <t>One team responsible for output and machine health | What an O&amp;M contract includes | What is not included (unless agreed in the contract) | How an O&amp;M contract runs | Frequently asked questions</t>
        </is>
      </c>
      <c r="J45" s="18" t="inlineStr">
        <is>
          <t>FAQ accordion</t>
        </is>
      </c>
      <c r="K45" s="18" t="inlineStr">
        <is>
          <t>Yes</t>
        </is>
      </c>
      <c r="L45" s="18" t="inlineStr">
        <is>
          <t>No</t>
        </is>
      </c>
      <c r="M45" s="18" t="inlineStr">
        <is>
          <t>Yes</t>
        </is>
      </c>
      <c r="N45" s="18" t="inlineStr">
        <is>
          <t>No</t>
        </is>
      </c>
      <c r="O45" s="18" t="inlineStr"/>
    </row>
    <row r="46">
      <c r="A46" s="18" t="n">
        <v>45</v>
      </c>
      <c r="B46" s="18" t="inlineStr">
        <is>
          <t>Level 3 – Sub-sub page</t>
        </is>
      </c>
      <c r="C46" s="18" t="inlineStr">
        <is>
          <t>Services</t>
        </is>
      </c>
      <c r="D46" s="18" t="inlineStr">
        <is>
          <t>Maintenance Services</t>
        </is>
      </c>
      <c r="E46" s="18" t="inlineStr">
        <is>
          <t xml:space="preserve">        Annual Maintenance Contract (AMC)</t>
        </is>
      </c>
      <c r="F46" s="18" t="inlineStr">
        <is>
          <t>https://hytengineering.com/annual-maintenance-contract/</t>
        </is>
      </c>
      <c r="G46" s="18" t="inlineStr">
        <is>
          <t>Content page</t>
        </is>
      </c>
      <c r="H46" s="18" t="inlineStr">
        <is>
          <t>Annual Maintenance Contract (AMC)</t>
        </is>
      </c>
      <c r="I46" s="18" t="inlineStr">
        <is>
          <t>Predictable labour cost, planned machine care | What an AMC includes | What is not included | What a typical AMC year looks like | Frequently asked questions</t>
        </is>
      </c>
      <c r="J46" s="18" t="inlineStr">
        <is>
          <t>FAQ accordion</t>
        </is>
      </c>
      <c r="K46" s="18" t="inlineStr">
        <is>
          <t>Yes</t>
        </is>
      </c>
      <c r="L46" s="18" t="inlineStr">
        <is>
          <t>Yes</t>
        </is>
      </c>
      <c r="M46" s="18" t="inlineStr">
        <is>
          <t>Yes</t>
        </is>
      </c>
      <c r="N46" s="18" t="inlineStr">
        <is>
          <t>No</t>
        </is>
      </c>
      <c r="O46" s="18" t="inlineStr"/>
    </row>
    <row r="47">
      <c r="A47" s="18" t="n">
        <v>46</v>
      </c>
      <c r="B47" s="18" t="inlineStr">
        <is>
          <t>Level 3 – Sub-sub page</t>
        </is>
      </c>
      <c r="C47" s="18" t="inlineStr">
        <is>
          <t>Services</t>
        </is>
      </c>
      <c r="D47" s="18" t="inlineStr">
        <is>
          <t>Maintenance Services</t>
        </is>
      </c>
      <c r="E47" s="18" t="inlineStr">
        <is>
          <t xml:space="preserve">        Comprehensive Maintenance Contract (CMC)</t>
        </is>
      </c>
      <c r="F47" s="18" t="inlineStr">
        <is>
          <t>https://hytengineering.com/comprehensive-annual-maintenance-contract/</t>
        </is>
      </c>
      <c r="G47" s="18" t="inlineStr">
        <is>
          <t>Content page</t>
        </is>
      </c>
      <c r="H47" s="18" t="inlineStr">
        <is>
          <t>Comprehensive Maintenance Contract (CMC)</t>
        </is>
      </c>
      <c r="I47" s="18" t="inlineStr">
        <is>
          <t>Maintenance and spares under one fixed fee | What a CMC includes | What is not included | AMC or CMC? | Frequently asked questions</t>
        </is>
      </c>
      <c r="J47" s="18" t="inlineStr">
        <is>
          <t>FAQ accordion</t>
        </is>
      </c>
      <c r="K47" s="18" t="inlineStr">
        <is>
          <t>Yes</t>
        </is>
      </c>
      <c r="L47" s="18" t="inlineStr">
        <is>
          <t>No</t>
        </is>
      </c>
      <c r="M47" s="18" t="inlineStr">
        <is>
          <t>Yes</t>
        </is>
      </c>
      <c r="N47" s="18" t="inlineStr">
        <is>
          <t>No</t>
        </is>
      </c>
      <c r="O47" s="18" t="inlineStr"/>
    </row>
    <row r="48">
      <c r="A48" s="18" t="n">
        <v>47</v>
      </c>
      <c r="B48" s="18" t="inlineStr">
        <is>
          <t>Level 3 – Sub-sub page</t>
        </is>
      </c>
      <c r="C48" s="18" t="inlineStr">
        <is>
          <t>Services</t>
        </is>
      </c>
      <c r="D48" s="18" t="inlineStr">
        <is>
          <t>Maintenance Services</t>
        </is>
      </c>
      <c r="E48" s="18" t="inlineStr">
        <is>
          <t xml:space="preserve">        Operation Contract</t>
        </is>
      </c>
      <c r="F48" s="18" t="inlineStr">
        <is>
          <t>https://hytengineering.com/operation-contract/</t>
        </is>
      </c>
      <c r="G48" s="18" t="inlineStr">
        <is>
          <t>Content page</t>
        </is>
      </c>
      <c r="H48" s="18" t="inlineStr">
        <is>
          <t>Operation Contract: trained operators for your machine</t>
        </is>
      </c>
      <c r="I48" s="18" t="inlineStr">
        <is>
          <t>Operation only – a clear, narrow scope | Included | Not included | Frequently asked questions</t>
        </is>
      </c>
      <c r="J48" s="18" t="inlineStr">
        <is>
          <t>FAQ accordion</t>
        </is>
      </c>
      <c r="K48" s="18" t="inlineStr">
        <is>
          <t>Yes</t>
        </is>
      </c>
      <c r="L48" s="18" t="inlineStr">
        <is>
          <t>No</t>
        </is>
      </c>
      <c r="M48" s="18" t="inlineStr">
        <is>
          <t>Yes</t>
        </is>
      </c>
      <c r="N48" s="18" t="inlineStr">
        <is>
          <t>Yes</t>
        </is>
      </c>
      <c r="O48" s="18" t="inlineStr"/>
    </row>
    <row r="49">
      <c r="A49" s="18" t="n">
        <v>48</v>
      </c>
      <c r="B49" s="18" t="inlineStr">
        <is>
          <t>Level 3 – Sub-sub page</t>
        </is>
      </c>
      <c r="C49" s="18" t="inlineStr">
        <is>
          <t>Services</t>
        </is>
      </c>
      <c r="D49" s="18" t="inlineStr">
        <is>
          <t>Maintenance Services</t>
        </is>
      </c>
      <c r="E49" s="18" t="inlineStr">
        <is>
          <t xml:space="preserve">        Service Contract</t>
        </is>
      </c>
      <c r="F49" s="18" t="inlineStr">
        <is>
          <t>https://hytengineering.com/service-contract/</t>
        </is>
      </c>
      <c r="G49" s="18" t="inlineStr">
        <is>
          <t>Content page</t>
        </is>
      </c>
      <c r="H49" s="18" t="inlineStr">
        <is>
          <t>Service Contract: call-based support at agreed rates</t>
        </is>
      </c>
      <c r="I49" s="18" t="inlineStr">
        <is>
          <t>Flexible support without an annual commitment | How a service call works | Included and not included | Frequently asked questions</t>
        </is>
      </c>
      <c r="J49" s="18" t="inlineStr">
        <is>
          <t>FAQ accordion</t>
        </is>
      </c>
      <c r="K49" s="18" t="inlineStr">
        <is>
          <t>Yes</t>
        </is>
      </c>
      <c r="L49" s="18" t="inlineStr">
        <is>
          <t>No</t>
        </is>
      </c>
      <c r="M49" s="18" t="inlineStr">
        <is>
          <t>Yes</t>
        </is>
      </c>
      <c r="N49" s="18" t="inlineStr">
        <is>
          <t>Yes</t>
        </is>
      </c>
      <c r="O49" s="18" t="inlineStr"/>
    </row>
    <row r="50">
      <c r="A50" s="18" t="n">
        <v>49</v>
      </c>
      <c r="B50" s="18" t="inlineStr">
        <is>
          <t>Level 3 – Sub-sub page</t>
        </is>
      </c>
      <c r="C50" s="18" t="inlineStr">
        <is>
          <t>Services</t>
        </is>
      </c>
      <c r="D50" s="18" t="inlineStr">
        <is>
          <t>Maintenance Services</t>
        </is>
      </c>
      <c r="E50" s="18" t="inlineStr">
        <is>
          <t xml:space="preserve">        Spare Parts &amp; Support</t>
        </is>
      </c>
      <c r="F50" s="18" t="inlineStr">
        <is>
          <t>https://hytengineering.com/spare-supply/</t>
        </is>
      </c>
      <c r="G50" s="18" t="inlineStr">
        <is>
          <t>Content page</t>
        </is>
      </c>
      <c r="H50" s="18" t="inlineStr">
        <is>
          <t>Spare parts and technical support</t>
        </is>
      </c>
      <c r="I50" s="18" t="inlineStr">
        <is>
          <t>The right part, first time | Spares and support for the whole machine | From enquiry to dispatch | Hold the parts that stop the machine | Information to include with a spares enquiry | Frequently asked questions</t>
        </is>
      </c>
      <c r="J50" s="18" t="inlineStr">
        <is>
          <t>FAQ accordion</t>
        </is>
      </c>
      <c r="K50" s="18" t="inlineStr">
        <is>
          <t>Yes</t>
        </is>
      </c>
      <c r="L50" s="18" t="inlineStr">
        <is>
          <t>Yes</t>
        </is>
      </c>
      <c r="M50" s="18" t="inlineStr">
        <is>
          <t>Yes</t>
        </is>
      </c>
      <c r="N50" s="18" t="inlineStr">
        <is>
          <t>No</t>
        </is>
      </c>
      <c r="O50" s="18" t="inlineStr"/>
    </row>
    <row r="51">
      <c r="A51" s="17" t="n">
        <v>50</v>
      </c>
      <c r="B51" s="17" t="inlineStr">
        <is>
          <t>Level 2 – Sub page</t>
        </is>
      </c>
      <c r="C51" s="17" t="inlineStr">
        <is>
          <t>Services</t>
        </is>
      </c>
      <c r="D51" s="17" t="inlineStr">
        <is>
          <t>Services</t>
        </is>
      </c>
      <c r="E51" s="17" t="inlineStr">
        <is>
          <t xml:space="preserve">    Retro-fitment &amp; Upgradation</t>
        </is>
      </c>
      <c r="F51" s="17" t="inlineStr">
        <is>
          <t>https://hytengineering.com/retro-fitment-upgradation/</t>
        </is>
      </c>
      <c r="G51" s="17" t="inlineStr">
        <is>
          <t>Content page</t>
        </is>
      </c>
      <c r="H51" s="17" t="inlineStr">
        <is>
          <t>Retro-fitment and upgradation of wheel lathes</t>
        </is>
      </c>
      <c r="I51" s="17" t="inlineStr">
        <is>
          <t>Keep the structure, renew the intelligence | Typical retro-fitment packages | Signs that a machine is ready for retro-fitment | How a retro-fitment project runs | Frequently asked questions</t>
        </is>
      </c>
      <c r="J51" s="17" t="inlineStr">
        <is>
          <t>FAQ accordion</t>
        </is>
      </c>
      <c r="K51" s="17" t="inlineStr">
        <is>
          <t>Yes</t>
        </is>
      </c>
      <c r="L51" s="17" t="inlineStr">
        <is>
          <t>Yes</t>
        </is>
      </c>
      <c r="M51" s="17" t="inlineStr">
        <is>
          <t>Yes</t>
        </is>
      </c>
      <c r="N51" s="17" t="inlineStr">
        <is>
          <t>No</t>
        </is>
      </c>
      <c r="O51" s="17" t="inlineStr"/>
    </row>
    <row r="52">
      <c r="A52" s="17" t="n">
        <v>51</v>
      </c>
      <c r="B52" s="17" t="inlineStr">
        <is>
          <t>Level 2 – Sub page</t>
        </is>
      </c>
      <c r="C52" s="17" t="inlineStr">
        <is>
          <t>Services</t>
        </is>
      </c>
      <c r="D52" s="17" t="inlineStr">
        <is>
          <t>Services</t>
        </is>
      </c>
      <c r="E52" s="17" t="inlineStr">
        <is>
          <t xml:space="preserve">    Repair</t>
        </is>
      </c>
      <c r="F52" s="17" t="inlineStr">
        <is>
          <t>https://hytengineering.com/repair/</t>
        </is>
      </c>
      <c r="G52" s="17" t="inlineStr">
        <is>
          <t>Content page</t>
        </is>
      </c>
      <c r="H52" s="17" t="inlineStr">
        <is>
          <t>Repair of wheel lathes and wheel shop machines</t>
        </is>
      </c>
      <c r="I52" s="17" t="inlineStr">
        <is>
          <t>Fix the cause, not just the symptom | Types of repair | How a repair is handled | Information that speeds up diagnosis | Frequently asked questions</t>
        </is>
      </c>
      <c r="J52" s="17" t="inlineStr">
        <is>
          <t>FAQ accordion</t>
        </is>
      </c>
      <c r="K52" s="17" t="inlineStr">
        <is>
          <t>Yes</t>
        </is>
      </c>
      <c r="L52" s="17" t="inlineStr">
        <is>
          <t>No</t>
        </is>
      </c>
      <c r="M52" s="17" t="inlineStr">
        <is>
          <t>Yes</t>
        </is>
      </c>
      <c r="N52" s="17" t="inlineStr">
        <is>
          <t>No</t>
        </is>
      </c>
      <c r="O52" s="17" t="inlineStr"/>
    </row>
    <row r="53">
      <c r="A53" s="17" t="n">
        <v>52</v>
      </c>
      <c r="B53" s="17" t="inlineStr">
        <is>
          <t>Level 2 – Sub page</t>
        </is>
      </c>
      <c r="C53" s="17" t="inlineStr">
        <is>
          <t>Services</t>
        </is>
      </c>
      <c r="D53" s="17" t="inlineStr">
        <is>
          <t>Services</t>
        </is>
      </c>
      <c r="E53" s="17" t="inlineStr">
        <is>
          <t xml:space="preserve">    Machine Relocation &amp; Shifting</t>
        </is>
      </c>
      <c r="F53" s="17" t="inlineStr">
        <is>
          <t>https://hytengineering.com/shifting/</t>
        </is>
      </c>
      <c r="G53" s="17" t="inlineStr">
        <is>
          <t>Content page</t>
        </is>
      </c>
      <c r="H53" s="17" t="inlineStr">
        <is>
          <t>Machine relocation and shifting</t>
        </is>
      </c>
      <c r="I53" s="17" t="inlineStr">
        <is>
          <t>Precision machines do not travel well on their own | How we relocate a machine | Controlled risk at every stage | Frequently asked questions</t>
        </is>
      </c>
      <c r="J53" s="17" t="inlineStr">
        <is>
          <t>FAQ accordion</t>
        </is>
      </c>
      <c r="K53" s="17" t="inlineStr">
        <is>
          <t>Yes</t>
        </is>
      </c>
      <c r="L53" s="17" t="inlineStr">
        <is>
          <t>No</t>
        </is>
      </c>
      <c r="M53" s="17" t="inlineStr">
        <is>
          <t>Yes</t>
        </is>
      </c>
      <c r="N53" s="17" t="inlineStr">
        <is>
          <t>No</t>
        </is>
      </c>
      <c r="O53" s="17" t="inlineStr"/>
    </row>
    <row r="54">
      <c r="A54" s="17" t="n">
        <v>53</v>
      </c>
      <c r="B54" s="17" t="inlineStr">
        <is>
          <t>Level 2 – Sub page</t>
        </is>
      </c>
      <c r="C54" s="17" t="inlineStr">
        <is>
          <t>Services</t>
        </is>
      </c>
      <c r="D54" s="17" t="inlineStr">
        <is>
          <t>Services</t>
        </is>
      </c>
      <c r="E54" s="17" t="inlineStr">
        <is>
          <t xml:space="preserve">    MAAS – Machine as a Service (Wet Leasing)</t>
        </is>
      </c>
      <c r="F54" s="17" t="inlineStr">
        <is>
          <t>https://hytengineering.com/wet-leasing/</t>
        </is>
      </c>
      <c r="G54" s="17" t="inlineStr">
        <is>
          <t>Content page</t>
        </is>
      </c>
      <c r="H54" s="17" t="inlineStr">
        <is>
          <t>Machine as a Service (MAAS): wet leasing of wheel lathes</t>
        </is>
      </c>
      <c r="I54" s="17" t="inlineStr">
        <is>
          <t>Pay for re-profiled wheels, not for a machine | One agreement, complete capability | Buy, O&amp;M or Machine as a Service? | When Machine as a Service makes sense | From enquiry to output | Frequently asked questions</t>
        </is>
      </c>
      <c r="J54" s="17" t="inlineStr">
        <is>
          <t>FAQ accordion</t>
        </is>
      </c>
      <c r="K54" s="17" t="inlineStr">
        <is>
          <t>Yes</t>
        </is>
      </c>
      <c r="L54" s="17" t="inlineStr">
        <is>
          <t>Yes</t>
        </is>
      </c>
      <c r="M54" s="17" t="inlineStr">
        <is>
          <t>Yes</t>
        </is>
      </c>
      <c r="N54" s="17" t="inlineStr">
        <is>
          <t>No</t>
        </is>
      </c>
      <c r="O54" s="17" t="inlineStr"/>
    </row>
    <row r="55">
      <c r="A55" s="17" t="n">
        <v>54</v>
      </c>
      <c r="B55" s="17" t="inlineStr">
        <is>
          <t>Level 2 – Sub page</t>
        </is>
      </c>
      <c r="C55" s="17" t="inlineStr">
        <is>
          <t>Services</t>
        </is>
      </c>
      <c r="D55" s="17" t="inlineStr">
        <is>
          <t>Services</t>
        </is>
      </c>
      <c r="E55" s="17" t="inlineStr">
        <is>
          <t xml:space="preserve">    Training</t>
        </is>
      </c>
      <c r="F55" s="17" t="inlineStr">
        <is>
          <t>https://hytengineering.com/training/</t>
        </is>
      </c>
      <c r="G55" s="17" t="inlineStr">
        <is>
          <t>Content page</t>
        </is>
      </c>
      <c r="H55" s="17" t="inlineStr">
        <is>
          <t>Training for operators, programmers and maintainers</t>
        </is>
      </c>
      <c r="I55" s="17" t="inlineStr">
        <is>
          <t>Skilled operators save wheel material | Programmes for each role | Typical training topics | Training formats | How we plan a training programme | Frequently asked questions</t>
        </is>
      </c>
      <c r="J55" s="17" t="inlineStr">
        <is>
          <t>FAQ accordion</t>
        </is>
      </c>
      <c r="K55" s="17" t="inlineStr">
        <is>
          <t>Yes</t>
        </is>
      </c>
      <c r="L55" s="17" t="inlineStr">
        <is>
          <t>Yes</t>
        </is>
      </c>
      <c r="M55" s="17" t="inlineStr">
        <is>
          <t>Yes</t>
        </is>
      </c>
      <c r="N55" s="17" t="inlineStr">
        <is>
          <t>No</t>
        </is>
      </c>
      <c r="O55" s="17" t="inlineStr"/>
    </row>
    <row r="56">
      <c r="A56" s="17" t="n">
        <v>55</v>
      </c>
      <c r="B56" s="17" t="inlineStr">
        <is>
          <t>Level 2 – Sub page</t>
        </is>
      </c>
      <c r="C56" s="17" t="inlineStr">
        <is>
          <t>Services</t>
        </is>
      </c>
      <c r="D56" s="17" t="inlineStr">
        <is>
          <t>Services</t>
        </is>
      </c>
      <c r="E56" s="17" t="inlineStr">
        <is>
          <t xml:space="preserve">    After-Sales Service Network</t>
        </is>
      </c>
      <c r="F56" s="17" t="inlineStr">
        <is>
          <t>https://hytengineering.com/service-centers/</t>
        </is>
      </c>
      <c r="G56" s="17" t="inlineStr">
        <is>
          <t>Content page</t>
        </is>
      </c>
      <c r="H56" s="17" t="inlineStr">
        <is>
          <t>After-sales service network</t>
        </is>
      </c>
      <c r="I56" s="17" t="inlineStr">
        <is>
          <t>Coordinated from Pune, delivered on site | How we support you | What happens after you raise a request | Have this ready when you contact us | Contact HYT service</t>
        </is>
      </c>
      <c r="J56" s="17" t="inlineStr">
        <is>
          <t>Contact details + map link</t>
        </is>
      </c>
      <c r="K56" s="17" t="inlineStr">
        <is>
          <t>Yes</t>
        </is>
      </c>
      <c r="L56" s="17" t="inlineStr">
        <is>
          <t>Yes</t>
        </is>
      </c>
      <c r="M56" s="17" t="inlineStr">
        <is>
          <t>Yes</t>
        </is>
      </c>
      <c r="N56" s="17" t="inlineStr">
        <is>
          <t>Yes</t>
        </is>
      </c>
      <c r="O56" s="17" t="inlineStr"/>
    </row>
    <row r="57">
      <c r="A57" s="15" t="n">
        <v>56</v>
      </c>
      <c r="B57" s="16" t="inlineStr">
        <is>
          <t>Level 1 – Main page</t>
        </is>
      </c>
      <c r="C57" s="15" t="inlineStr">
        <is>
          <t>Industries</t>
        </is>
      </c>
      <c r="D57" s="15" t="inlineStr">
        <is>
          <t>Home</t>
        </is>
      </c>
      <c r="E57" s="16" t="inlineStr">
        <is>
          <t>Industries</t>
        </is>
      </c>
      <c r="F57" s="15" t="inlineStr">
        <is>
          <t>https://hytengineering.com/industries/</t>
        </is>
      </c>
      <c r="G57" s="15" t="inlineStr">
        <is>
          <t>Content page</t>
        </is>
      </c>
      <c r="H57" s="15" t="inlineStr">
        <is>
          <t>Industries We Serve</t>
        </is>
      </c>
      <c r="I57" s="15" t="inlineStr">
        <is>
          <t>Solutions shaped by your operation | One discipline: precise machining of heavy rotating parts | What every customer needs from a machine partner | From your requirement to a working solution | Selected projects</t>
        </is>
      </c>
      <c r="J57" s="15" t="inlineStr"/>
      <c r="K57" s="15" t="inlineStr">
        <is>
          <t>Yes</t>
        </is>
      </c>
      <c r="L57" s="15" t="inlineStr">
        <is>
          <t>Yes</t>
        </is>
      </c>
      <c r="M57" s="15" t="inlineStr">
        <is>
          <t>Yes</t>
        </is>
      </c>
      <c r="N57" s="15" t="inlineStr">
        <is>
          <t>No</t>
        </is>
      </c>
      <c r="O57" s="15" t="inlineStr"/>
    </row>
    <row r="58">
      <c r="A58" s="17" t="n">
        <v>57</v>
      </c>
      <c r="B58" s="17" t="inlineStr">
        <is>
          <t>Level 2 – Sub page</t>
        </is>
      </c>
      <c r="C58" s="17" t="inlineStr">
        <is>
          <t>Industries</t>
        </is>
      </c>
      <c r="D58" s="17" t="inlineStr">
        <is>
          <t>Industries</t>
        </is>
      </c>
      <c r="E58" s="17" t="inlineStr">
        <is>
          <t xml:space="preserve">    Railways</t>
        </is>
      </c>
      <c r="F58" s="17" t="inlineStr">
        <is>
          <t>https://hytengineering.com/industries/railways/</t>
        </is>
      </c>
      <c r="G58" s="17" t="inlineStr">
        <is>
          <t>Content page</t>
        </is>
      </c>
      <c r="H58" s="17" t="inlineStr">
        <is>
          <t>Solutions for Railways</t>
        </is>
      </c>
      <c r="I58" s="17" t="inlineStr">
        <is>
          <t>Large, mixed fleets and little time to spare | Faster re-profiling, longer wheel life | Machines for railway sheds and workshops | Support for the whole machine life | HYT machines at work on railways | Frequently asked questions</t>
        </is>
      </c>
      <c r="J58" s="17" t="inlineStr">
        <is>
          <t>FAQ accordion</t>
        </is>
      </c>
      <c r="K58" s="17" t="inlineStr">
        <is>
          <t>Yes</t>
        </is>
      </c>
      <c r="L58" s="17" t="inlineStr">
        <is>
          <t>No</t>
        </is>
      </c>
      <c r="M58" s="17" t="inlineStr">
        <is>
          <t>Yes</t>
        </is>
      </c>
      <c r="N58" s="17" t="inlineStr">
        <is>
          <t>No</t>
        </is>
      </c>
      <c r="O58" s="17" t="inlineStr"/>
    </row>
    <row r="59">
      <c r="A59" s="17" t="n">
        <v>58</v>
      </c>
      <c r="B59" s="17" t="inlineStr">
        <is>
          <t>Level 2 – Sub page</t>
        </is>
      </c>
      <c r="C59" s="17" t="inlineStr">
        <is>
          <t>Industries</t>
        </is>
      </c>
      <c r="D59" s="17" t="inlineStr">
        <is>
          <t>Industries</t>
        </is>
      </c>
      <c r="E59" s="17" t="inlineStr">
        <is>
          <t xml:space="preserve">    Metros</t>
        </is>
      </c>
      <c r="F59" s="17" t="inlineStr">
        <is>
          <t>https://hytengineering.com/industries/metros/</t>
        </is>
      </c>
      <c r="G59" s="17" t="inlineStr">
        <is>
          <t>Content page</t>
        </is>
      </c>
      <c r="H59" s="17" t="inlineStr">
        <is>
          <t>Solutions for Metros and Rapid Transit</t>
        </is>
      </c>
      <c r="I59" s="17" t="inlineStr">
        <is>
          <t>High frequency, short windows, no spare trains | Wheel maintenance that fits the night shift | Machines for metro depots | Keeping depot machines available | HYT machines for metro and rapid transit | Frequently asked questions</t>
        </is>
      </c>
      <c r="J59" s="17" t="inlineStr">
        <is>
          <t>FAQ accordion</t>
        </is>
      </c>
      <c r="K59" s="17" t="inlineStr">
        <is>
          <t>Yes</t>
        </is>
      </c>
      <c r="L59" s="17" t="inlineStr">
        <is>
          <t>No</t>
        </is>
      </c>
      <c r="M59" s="17" t="inlineStr">
        <is>
          <t>Yes</t>
        </is>
      </c>
      <c r="N59" s="17" t="inlineStr">
        <is>
          <t>No</t>
        </is>
      </c>
      <c r="O59" s="17" t="inlineStr"/>
    </row>
    <row r="60">
      <c r="A60" s="17" t="n">
        <v>59</v>
      </c>
      <c r="B60" s="17" t="inlineStr">
        <is>
          <t>Level 2 – Sub page</t>
        </is>
      </c>
      <c r="C60" s="17" t="inlineStr">
        <is>
          <t>Industries</t>
        </is>
      </c>
      <c r="D60" s="17" t="inlineStr">
        <is>
          <t>Industries</t>
        </is>
      </c>
      <c r="E60" s="17" t="inlineStr">
        <is>
          <t xml:space="preserve">    Rolling Stock Manufacturers</t>
        </is>
      </c>
      <c r="F60" s="17" t="inlineStr">
        <is>
          <t>https://hytengineering.com/industries/rolling-stock-manufacturers/</t>
        </is>
      </c>
      <c r="G60" s="17" t="inlineStr">
        <is>
          <t>Content page</t>
        </is>
      </c>
      <c r="H60" s="17" t="inlineStr">
        <is>
          <t>Solutions for Rolling Stock Manufacturers</t>
        </is>
      </c>
      <c r="I60" s="17" t="inlineStr">
        <is>
          <t>Tight tolerances at production volumes | A complete process from raw component to certified wheelset | Machines for wheelset production | From line layout to lifetime support | Our turning machines in railway wheel shops | Frequently asked questions</t>
        </is>
      </c>
      <c r="J60" s="17" t="inlineStr">
        <is>
          <t>FAQ accordion</t>
        </is>
      </c>
      <c r="K60" s="17" t="inlineStr">
        <is>
          <t>Yes</t>
        </is>
      </c>
      <c r="L60" s="17" t="inlineStr">
        <is>
          <t>No</t>
        </is>
      </c>
      <c r="M60" s="17" t="inlineStr">
        <is>
          <t>Yes</t>
        </is>
      </c>
      <c r="N60" s="17" t="inlineStr">
        <is>
          <t>No</t>
        </is>
      </c>
      <c r="O60" s="17" t="inlineStr"/>
    </row>
    <row r="61">
      <c r="A61" s="17" t="n">
        <v>60</v>
      </c>
      <c r="B61" s="17" t="inlineStr">
        <is>
          <t>Level 2 – Sub page</t>
        </is>
      </c>
      <c r="C61" s="17" t="inlineStr">
        <is>
          <t>Industries</t>
        </is>
      </c>
      <c r="D61" s="17" t="inlineStr">
        <is>
          <t>Industries</t>
        </is>
      </c>
      <c r="E61" s="17" t="inlineStr">
        <is>
          <t xml:space="preserve">    Defence</t>
        </is>
      </c>
      <c r="F61" s="17" t="inlineStr">
        <is>
          <t>https://hytengineering.com/industries/defence/</t>
        </is>
      </c>
      <c r="G61" s="17" t="inlineStr">
        <is>
          <t>Content page</t>
        </is>
      </c>
      <c r="H61" s="17" t="inlineStr">
        <is>
          <t>Solutions for Defence</t>
        </is>
      </c>
      <c r="I61" s="17" t="inlineStr">
        <is>
          <t>Readiness, self-reliance and long service lives | Capability for defence workshops | Machines suited to defence applications | Long-term support | Frequently asked questions</t>
        </is>
      </c>
      <c r="J61" s="17" t="inlineStr">
        <is>
          <t>FAQ accordion</t>
        </is>
      </c>
      <c r="K61" s="17" t="inlineStr">
        <is>
          <t>Yes</t>
        </is>
      </c>
      <c r="L61" s="17" t="inlineStr">
        <is>
          <t>No</t>
        </is>
      </c>
      <c r="M61" s="17" t="inlineStr">
        <is>
          <t>Yes</t>
        </is>
      </c>
      <c r="N61" s="17" t="inlineStr">
        <is>
          <t>Yes</t>
        </is>
      </c>
      <c r="O61" s="17" t="inlineStr"/>
    </row>
    <row r="62">
      <c r="A62" s="17" t="n">
        <v>61</v>
      </c>
      <c r="B62" s="17" t="inlineStr">
        <is>
          <t>Level 2 – Sub page</t>
        </is>
      </c>
      <c r="C62" s="17" t="inlineStr">
        <is>
          <t>Industries</t>
        </is>
      </c>
      <c r="D62" s="17" t="inlineStr">
        <is>
          <t>Industries</t>
        </is>
      </c>
      <c r="E62" s="17" t="inlineStr">
        <is>
          <t xml:space="preserve">    Heavy Engineering</t>
        </is>
      </c>
      <c r="F62" s="17" t="inlineStr">
        <is>
          <t>https://hytengineering.com/industries/heavy-engineering/</t>
        </is>
      </c>
      <c r="G62" s="17" t="inlineStr">
        <is>
          <t>Content page</t>
        </is>
      </c>
      <c r="H62" s="17" t="inlineStr">
        <is>
          <t>Solutions for Heavy Engineering</t>
        </is>
      </c>
      <c r="I62" s="17" t="inlineStr">
        <is>
          <t>Big parts, heavy loads, costly downtime | Railway-grade machining for industry | Machines for heavy engineering | Support that protects production | Frequently asked questions</t>
        </is>
      </c>
      <c r="J62" s="17" t="inlineStr">
        <is>
          <t>FAQ accordion</t>
        </is>
      </c>
      <c r="K62" s="17" t="inlineStr">
        <is>
          <t>Yes</t>
        </is>
      </c>
      <c r="L62" s="17" t="inlineStr">
        <is>
          <t>No</t>
        </is>
      </c>
      <c r="M62" s="17" t="inlineStr">
        <is>
          <t>Yes</t>
        </is>
      </c>
      <c r="N62" s="17" t="inlineStr">
        <is>
          <t>Yes</t>
        </is>
      </c>
      <c r="O62" s="17" t="inlineStr"/>
    </row>
    <row r="63">
      <c r="A63" s="15" t="n">
        <v>62</v>
      </c>
      <c r="B63" s="16" t="inlineStr">
        <is>
          <t>Level 1 – Main page</t>
        </is>
      </c>
      <c r="C63" s="15" t="inlineStr">
        <is>
          <t>Media &amp; Resources</t>
        </is>
      </c>
      <c r="D63" s="15" t="inlineStr">
        <is>
          <t>Home</t>
        </is>
      </c>
      <c r="E63" s="16" t="inlineStr">
        <is>
          <t>Latest News</t>
        </is>
      </c>
      <c r="F63" s="15" t="inlineStr">
        <is>
          <t>https://hytengineering.com/news/</t>
        </is>
      </c>
      <c r="G63" s="15" t="inlineStr">
        <is>
          <t>Content page</t>
        </is>
      </c>
      <c r="H63" s="15" t="inlineStr">
        <is>
          <t>Latest news from HYT Engineering</t>
        </is>
      </c>
      <c r="I63" s="15" t="inlineStr">
        <is>
          <t>Recent announcements | What we publish here | More from HYT</t>
        </is>
      </c>
      <c r="J63" s="15" t="inlineStr">
        <is>
          <t>News cards</t>
        </is>
      </c>
      <c r="K63" s="15" t="inlineStr">
        <is>
          <t>Yes</t>
        </is>
      </c>
      <c r="L63" s="15" t="inlineStr">
        <is>
          <t>Yes</t>
        </is>
      </c>
      <c r="M63" s="15" t="inlineStr">
        <is>
          <t>Yes</t>
        </is>
      </c>
      <c r="N63" s="15" t="inlineStr">
        <is>
          <t>Yes</t>
        </is>
      </c>
      <c r="O63" s="15" t="inlineStr"/>
    </row>
    <row r="64">
      <c r="A64" s="15" t="n">
        <v>63</v>
      </c>
      <c r="B64" s="16" t="inlineStr">
        <is>
          <t>Level 1 – Main page</t>
        </is>
      </c>
      <c r="C64" s="15" t="inlineStr">
        <is>
          <t>Media &amp; Resources</t>
        </is>
      </c>
      <c r="D64" s="15" t="inlineStr">
        <is>
          <t>Home</t>
        </is>
      </c>
      <c r="E64" s="16" t="inlineStr">
        <is>
          <t>International Exhibitions</t>
        </is>
      </c>
      <c r="F64" s="15" t="inlineStr">
        <is>
          <t>https://hytengineering.com/international-exhibitions/</t>
        </is>
      </c>
      <c r="G64" s="15" t="inlineStr">
        <is>
          <t>Content page</t>
        </is>
      </c>
      <c r="H64" s="15" t="inlineStr">
        <is>
          <t>HYT at international rail exhibitions</t>
        </is>
      </c>
      <c r="I64" s="15" t="inlineStr">
        <is>
          <t>Conversations that shape better workshops | Where we have exhibited | What you can discuss with us | Impressions | More events and news</t>
        </is>
      </c>
      <c r="J64" s="15" t="inlineStr">
        <is>
          <t>Image gallery + lightbox</t>
        </is>
      </c>
      <c r="K64" s="15" t="inlineStr">
        <is>
          <t>Yes</t>
        </is>
      </c>
      <c r="L64" s="15" t="inlineStr">
        <is>
          <t>No</t>
        </is>
      </c>
      <c r="M64" s="15" t="inlineStr">
        <is>
          <t>Yes</t>
        </is>
      </c>
      <c r="N64" s="15" t="inlineStr">
        <is>
          <t>Yes</t>
        </is>
      </c>
      <c r="O64" s="15" t="inlineStr"/>
    </row>
    <row r="65">
      <c r="A65" s="15" t="n">
        <v>64</v>
      </c>
      <c r="B65" s="16" t="inlineStr">
        <is>
          <t>Level 1 – Main page</t>
        </is>
      </c>
      <c r="C65" s="15" t="inlineStr">
        <is>
          <t>Media &amp; Resources</t>
        </is>
      </c>
      <c r="D65" s="15" t="inlineStr">
        <is>
          <t>Home</t>
        </is>
      </c>
      <c r="E65" s="16" t="inlineStr">
        <is>
          <t>Domestic Exhibitions</t>
        </is>
      </c>
      <c r="F65" s="15" t="inlineStr">
        <is>
          <t>https://hytengineering.com/domestic-exhibitions/</t>
        </is>
      </c>
      <c r="G65" s="15" t="inlineStr">
        <is>
          <t>Content page</t>
        </is>
      </c>
      <c r="H65" s="15" t="inlineStr">
        <is>
          <t>HYT at exhibitions in India</t>
        </is>
      </c>
      <c r="I65" s="15" t="inlineStr">
        <is>
          <t>Why Indian events matter to us | Conversations we look forward to | More events and news</t>
        </is>
      </c>
      <c r="J65" s="15" t="inlineStr"/>
      <c r="K65" s="15" t="inlineStr">
        <is>
          <t>Yes</t>
        </is>
      </c>
      <c r="L65" s="15" t="inlineStr">
        <is>
          <t>No</t>
        </is>
      </c>
      <c r="M65" s="15" t="inlineStr">
        <is>
          <t>Yes</t>
        </is>
      </c>
      <c r="N65" s="15" t="inlineStr">
        <is>
          <t>Yes</t>
        </is>
      </c>
      <c r="O65" s="15" t="inlineStr"/>
    </row>
    <row r="66">
      <c r="A66" s="15" t="n">
        <v>65</v>
      </c>
      <c r="B66" s="16" t="inlineStr">
        <is>
          <t>Level 1 – Main page</t>
        </is>
      </c>
      <c r="C66" s="15" t="inlineStr">
        <is>
          <t>Media &amp; Resources</t>
        </is>
      </c>
      <c r="D66" s="15" t="inlineStr">
        <is>
          <t>Home</t>
        </is>
      </c>
      <c r="E66" s="16" t="inlineStr">
        <is>
          <t>Blog</t>
        </is>
      </c>
      <c r="F66" s="15" t="inlineStr">
        <is>
          <t>https://hytengineering.com/blog/</t>
        </is>
      </c>
      <c r="G66" s="15" t="inlineStr">
        <is>
          <t>Content page</t>
        </is>
      </c>
      <c r="H66" s="15" t="inlineStr">
        <is>
          <t>HYT Blog</t>
        </is>
      </c>
      <c r="I66" s="15" t="inlineStr">
        <is>
          <t>Two kinds of reading | Coming soon | Useful while you wait</t>
        </is>
      </c>
      <c r="J66" s="15" t="inlineStr"/>
      <c r="K66" s="15" t="inlineStr">
        <is>
          <t>Yes</t>
        </is>
      </c>
      <c r="L66" s="15" t="inlineStr">
        <is>
          <t>Yes</t>
        </is>
      </c>
      <c r="M66" s="15" t="inlineStr">
        <is>
          <t>Yes</t>
        </is>
      </c>
      <c r="N66" s="15" t="inlineStr">
        <is>
          <t>Yes</t>
        </is>
      </c>
      <c r="O66" s="15" t="inlineStr"/>
    </row>
    <row r="67">
      <c r="A67" s="15" t="n">
        <v>66</v>
      </c>
      <c r="B67" s="16" t="inlineStr">
        <is>
          <t>Level 1 – Main page</t>
        </is>
      </c>
      <c r="C67" s="15" t="inlineStr">
        <is>
          <t>Media &amp; Resources</t>
        </is>
      </c>
      <c r="D67" s="15" t="inlineStr">
        <is>
          <t>Home</t>
        </is>
      </c>
      <c r="E67" s="16" t="inlineStr">
        <is>
          <t>Knowledge Centre</t>
        </is>
      </c>
      <c r="F67" s="15" t="inlineStr">
        <is>
          <t>https://hytengineering.com/knowledge-centre/</t>
        </is>
      </c>
      <c r="G67" s="15" t="inlineStr">
        <is>
          <t>Content page</t>
        </is>
      </c>
      <c r="H67" s="15" t="inlineStr">
        <is>
          <t>Knowledge Centre: wheel wear, re-profiling and lathe planning</t>
        </is>
      </c>
      <c r="I67" s="15" t="inlineStr">
        <is>
          <t>Start with the question you have | Understanding wheel wear | Underfloor vs portal vs surface lathe: how to choose | Single or tandem, one lathe or two | Planning an underfloor lathe pit | Extending wheel life: re-profiling strategy | Building a wheel-life programme | Frequently asked questions | Machines mentioned in these guides</t>
        </is>
      </c>
      <c r="J67" s="15" t="inlineStr">
        <is>
          <t>FAQ accordion</t>
        </is>
      </c>
      <c r="K67" s="15" t="inlineStr">
        <is>
          <t>Yes</t>
        </is>
      </c>
      <c r="L67" s="15" t="inlineStr">
        <is>
          <t>Yes</t>
        </is>
      </c>
      <c r="M67" s="15" t="inlineStr">
        <is>
          <t>Yes</t>
        </is>
      </c>
      <c r="N67" s="15" t="inlineStr">
        <is>
          <t>No</t>
        </is>
      </c>
      <c r="O67" s="15" t="inlineStr"/>
    </row>
    <row r="68">
      <c r="A68" s="15" t="n">
        <v>67</v>
      </c>
      <c r="B68" s="16" t="inlineStr">
        <is>
          <t>Level 1 – Main page</t>
        </is>
      </c>
      <c r="C68" s="15" t="inlineStr">
        <is>
          <t>Media &amp; Resources</t>
        </is>
      </c>
      <c r="D68" s="15" t="inlineStr">
        <is>
          <t>Home</t>
        </is>
      </c>
      <c r="E68" s="16" t="inlineStr">
        <is>
          <t>Downloads</t>
        </is>
      </c>
      <c r="F68" s="15" t="inlineStr">
        <is>
          <t>https://hytengineering.com/downloads/</t>
        </is>
      </c>
      <c r="G68" s="15" t="inlineStr">
        <is>
          <t>Content page</t>
        </is>
      </c>
      <c r="H68" s="15" t="inlineStr">
        <is>
          <t>Downloads</t>
        </is>
      </c>
      <c r="I68" s="15" t="inlineStr">
        <is>
          <t>Product catalogues | From catalogue to proposal | Find a machine</t>
        </is>
      </c>
      <c r="J68" s="15" t="inlineStr">
        <is>
          <t>Download list</t>
        </is>
      </c>
      <c r="K68" s="15" t="inlineStr">
        <is>
          <t>Yes</t>
        </is>
      </c>
      <c r="L68" s="15" t="inlineStr">
        <is>
          <t>Yes</t>
        </is>
      </c>
      <c r="M68" s="15" t="inlineStr">
        <is>
          <t>Yes</t>
        </is>
      </c>
      <c r="N68" s="15" t="inlineStr">
        <is>
          <t>Yes</t>
        </is>
      </c>
      <c r="O68" s="15" t="inlineStr"/>
    </row>
    <row r="69">
      <c r="A69" s="15" t="n">
        <v>68</v>
      </c>
      <c r="B69" s="16" t="inlineStr">
        <is>
          <t>Level 1 – Main page</t>
        </is>
      </c>
      <c r="C69" s="15" t="inlineStr">
        <is>
          <t>Work With Us</t>
        </is>
      </c>
      <c r="D69" s="15" t="inlineStr">
        <is>
          <t>Home</t>
        </is>
      </c>
      <c r="E69" s="16" t="inlineStr">
        <is>
          <t>Work With Us</t>
        </is>
      </c>
      <c r="F69" s="15" t="inlineStr">
        <is>
          <t>https://hytengineering.com/work-with-us/</t>
        </is>
      </c>
      <c r="G69" s="15" t="inlineStr">
        <is>
          <t>Content page</t>
        </is>
      </c>
      <c r="H69" s="15" t="inlineStr">
        <is>
          <t>Work with HYT Engineering</t>
        </is>
      </c>
      <c r="I69" s="15" t="inlineStr">
        <is>
          <t>Three ways to work with us | Work that you can see running on the tracks | Why suppliers grow with HYT</t>
        </is>
      </c>
      <c r="J69" s="15" t="inlineStr"/>
      <c r="K69" s="15" t="inlineStr">
        <is>
          <t>Yes</t>
        </is>
      </c>
      <c r="L69" s="15" t="inlineStr">
        <is>
          <t>No</t>
        </is>
      </c>
      <c r="M69" s="15" t="inlineStr">
        <is>
          <t>Yes</t>
        </is>
      </c>
      <c r="N69" s="15" t="inlineStr">
        <is>
          <t>No</t>
        </is>
      </c>
      <c r="O69" s="15" t="inlineStr"/>
    </row>
    <row r="70">
      <c r="A70" s="17" t="n">
        <v>69</v>
      </c>
      <c r="B70" s="17" t="inlineStr">
        <is>
          <t>Level 2 – Sub page</t>
        </is>
      </c>
      <c r="C70" s="17" t="inlineStr">
        <is>
          <t>Work With Us</t>
        </is>
      </c>
      <c r="D70" s="17" t="inlineStr">
        <is>
          <t>Work With Us</t>
        </is>
      </c>
      <c r="E70" s="17" t="inlineStr">
        <is>
          <t xml:space="preserve">    Careers</t>
        </is>
      </c>
      <c r="F70" s="17" t="inlineStr">
        <is>
          <t>https://hytengineering.com/career/</t>
        </is>
      </c>
      <c r="G70" s="17" t="inlineStr">
        <is>
          <t>Content page</t>
        </is>
      </c>
      <c r="H70" s="17" t="inlineStr">
        <is>
          <t>Build your career in railway engineering</t>
        </is>
      </c>
      <c r="I70" s="17" t="inlineStr">
        <is>
          <t>Where ambitions are realised | A range of benefits for you and your family | Where you will work | Where you could work | From application to your first project | No listed vacancy? Apply anyway | Send your application | See what working here is like | Questions from candidates</t>
        </is>
      </c>
      <c r="J70" s="17" t="inlineStr">
        <is>
          <t>Tall hero with action buttons, Animated counters, Interactive tabs, Career application form, FAQ accordion</t>
        </is>
      </c>
      <c r="K70" s="17" t="inlineStr">
        <is>
          <t>Yes</t>
        </is>
      </c>
      <c r="L70" s="17" t="inlineStr">
        <is>
          <t>Yes</t>
        </is>
      </c>
      <c r="M70" s="17" t="inlineStr">
        <is>
          <t>Yes</t>
        </is>
      </c>
      <c r="N70" s="17" t="inlineStr">
        <is>
          <t>No</t>
        </is>
      </c>
      <c r="O70" s="17" t="inlineStr"/>
    </row>
    <row r="71">
      <c r="A71" s="17" t="n">
        <v>70</v>
      </c>
      <c r="B71" s="17" t="inlineStr">
        <is>
          <t>Level 2 – Sub page</t>
        </is>
      </c>
      <c r="C71" s="17" t="inlineStr">
        <is>
          <t>Work With Us</t>
        </is>
      </c>
      <c r="D71" s="17" t="inlineStr">
        <is>
          <t>Work With Us</t>
        </is>
      </c>
      <c r="E71" s="17" t="inlineStr">
        <is>
          <t xml:space="preserve">    Supplier Registration</t>
        </is>
      </c>
      <c r="F71" s="17" t="inlineStr">
        <is>
          <t>https://hytengineering.com/supplier-registration/</t>
        </is>
      </c>
      <c r="G71" s="17" t="inlineStr">
        <is>
          <t>Content page</t>
        </is>
      </c>
      <c r="H71" s="17" t="inlineStr">
        <is>
          <t>Supplier registration</t>
        </is>
      </c>
      <c r="I71" s="17" t="inlineStr">
        <is>
          <t>Supply categories | What we look for in a supplier | How registration works | Register your company</t>
        </is>
      </c>
      <c r="J71" s="17" t="inlineStr">
        <is>
          <t>Supplier registration form</t>
        </is>
      </c>
      <c r="K71" s="17" t="inlineStr">
        <is>
          <t>Yes</t>
        </is>
      </c>
      <c r="L71" s="17" t="inlineStr">
        <is>
          <t>Yes</t>
        </is>
      </c>
      <c r="M71" s="17" t="inlineStr">
        <is>
          <t>Yes</t>
        </is>
      </c>
      <c r="N71" s="17" t="inlineStr">
        <is>
          <t>No</t>
        </is>
      </c>
      <c r="O71" s="17" t="inlineStr"/>
    </row>
    <row r="72">
      <c r="A72" s="17" t="n">
        <v>71</v>
      </c>
      <c r="B72" s="17" t="inlineStr">
        <is>
          <t>Level 2 – Sub page</t>
        </is>
      </c>
      <c r="C72" s="17" t="inlineStr">
        <is>
          <t>Work With Us</t>
        </is>
      </c>
      <c r="D72" s="17" t="inlineStr">
        <is>
          <t>Work With Us</t>
        </is>
      </c>
      <c r="E72" s="17" t="inlineStr">
        <is>
          <t xml:space="preserve">    Life at HYT</t>
        </is>
      </c>
      <c r="F72" s="17" t="inlineStr">
        <is>
          <t>https://hytengineering.com/memorialization/</t>
        </is>
      </c>
      <c r="G72" s="17" t="inlineStr">
        <is>
          <t>Content page</t>
        </is>
      </c>
      <c r="H72" s="17" t="inlineStr">
        <is>
          <t>Life at HYT</t>
        </is>
      </c>
      <c r="I72" s="17" t="inlineStr">
        <is>
          <t>More than a workplace | What we do together | Moments from our year | Become part of the team</t>
        </is>
      </c>
      <c r="J72" s="17" t="inlineStr">
        <is>
          <t>Image gallery + lightbox</t>
        </is>
      </c>
      <c r="K72" s="17" t="inlineStr">
        <is>
          <t>Yes</t>
        </is>
      </c>
      <c r="L72" s="17" t="inlineStr">
        <is>
          <t>No</t>
        </is>
      </c>
      <c r="M72" s="17" t="inlineStr">
        <is>
          <t>Yes</t>
        </is>
      </c>
      <c r="N72" s="17" t="inlineStr">
        <is>
          <t>Yes</t>
        </is>
      </c>
      <c r="O72" s="17" t="inlineStr"/>
    </row>
    <row r="73">
      <c r="A73" s="15" t="n">
        <v>72</v>
      </c>
      <c r="B73" s="16" t="inlineStr">
        <is>
          <t>Level 1 – Main page</t>
        </is>
      </c>
      <c r="C73" s="15" t="inlineStr">
        <is>
          <t>Contact Us (header button)</t>
        </is>
      </c>
      <c r="D73" s="15" t="inlineStr">
        <is>
          <t>Home</t>
        </is>
      </c>
      <c r="E73" s="16" t="inlineStr">
        <is>
          <t>Contact Us</t>
        </is>
      </c>
      <c r="F73" s="15" t="inlineStr">
        <is>
          <t>https://hytengineering.com/contact-us/</t>
        </is>
      </c>
      <c r="G73" s="15" t="inlineStr">
        <is>
          <t>Content page</t>
        </is>
      </c>
      <c r="H73" s="15" t="inlineStr">
        <is>
          <t>Let's start a conversation</t>
        </is>
      </c>
      <c r="I73" s="15" t="inlineStr">
        <is>
          <t>Drop us a message</t>
        </is>
      </c>
      <c r="J73" s="15" t="inlineStr">
        <is>
          <t>Contact details + map link, Enquiry form</t>
        </is>
      </c>
      <c r="K73" s="15" t="inlineStr">
        <is>
          <t>No</t>
        </is>
      </c>
      <c r="L73" s="15" t="inlineStr">
        <is>
          <t>Yes</t>
        </is>
      </c>
      <c r="M73" s="15" t="inlineStr">
        <is>
          <t>Yes</t>
        </is>
      </c>
      <c r="N73" s="15" t="inlineStr">
        <is>
          <t>No</t>
        </is>
      </c>
      <c r="O73" s="15" t="inlineStr"/>
    </row>
    <row r="74">
      <c r="A74" s="17" t="n">
        <v>73</v>
      </c>
      <c r="B74" s="17" t="inlineStr">
        <is>
          <t>Level 2 – Sub page</t>
        </is>
      </c>
      <c r="C74" s="17" t="inlineStr">
        <is>
          <t>Contact Us (header button)</t>
        </is>
      </c>
      <c r="D74" s="17" t="inlineStr">
        <is>
          <t>Contact Us</t>
        </is>
      </c>
      <c r="E74" s="17" t="inlineStr">
        <is>
          <t xml:space="preserve">    Thank You</t>
        </is>
      </c>
      <c r="F74" s="17" t="inlineStr">
        <is>
          <t>https://hytengineering.com/thank-you/</t>
        </is>
      </c>
      <c r="G74" s="17" t="inlineStr">
        <is>
          <t>Utility page</t>
        </is>
      </c>
      <c r="H74" s="17" t="inlineStr">
        <is>
          <t>Thank you – we have received your details</t>
        </is>
      </c>
      <c r="I74" s="17" t="inlineStr">
        <is>
          <t>Three steps from here | Urgent matters | Continue exploring</t>
        </is>
      </c>
      <c r="J74" s="17" t="inlineStr"/>
      <c r="K74" s="17" t="inlineStr">
        <is>
          <t>No</t>
        </is>
      </c>
      <c r="L74" s="17" t="inlineStr">
        <is>
          <t>No</t>
        </is>
      </c>
      <c r="M74" s="17" t="inlineStr">
        <is>
          <t>No (noindex)</t>
        </is>
      </c>
      <c r="N74" s="17" t="inlineStr">
        <is>
          <t>No</t>
        </is>
      </c>
      <c r="O74" s="17" t="inlineStr"/>
    </row>
    <row r="75">
      <c r="A75" s="15" t="n">
        <v>74</v>
      </c>
      <c r="B75" s="16" t="inlineStr">
        <is>
          <t>Level 1 – Main page</t>
        </is>
      </c>
      <c r="C75" s="15" t="inlineStr">
        <is>
          <t>Footer – Legal</t>
        </is>
      </c>
      <c r="D75" s="15" t="inlineStr">
        <is>
          <t>Home</t>
        </is>
      </c>
      <c r="E75" s="16" t="inlineStr">
        <is>
          <t>Privacy Policy</t>
        </is>
      </c>
      <c r="F75" s="15" t="inlineStr">
        <is>
          <t>https://hytengineering.com/privacy-policy/</t>
        </is>
      </c>
      <c r="G75" s="15" t="inlineStr">
        <is>
          <t>Legal page</t>
        </is>
      </c>
      <c r="H75" s="15" t="inlineStr">
        <is>
          <t>Privacy Policy</t>
        </is>
      </c>
      <c r="I75" s="15" t="inlineStr"/>
      <c r="J75" s="15" t="inlineStr"/>
      <c r="K75" s="15" t="inlineStr">
        <is>
          <t>No</t>
        </is>
      </c>
      <c r="L75" s="15" t="inlineStr">
        <is>
          <t>Yes</t>
        </is>
      </c>
      <c r="M75" s="15" t="inlineStr">
        <is>
          <t>Yes</t>
        </is>
      </c>
      <c r="N75" s="15" t="inlineStr">
        <is>
          <t>Yes</t>
        </is>
      </c>
      <c r="O75" s="15" t="inlineStr"/>
    </row>
    <row r="76">
      <c r="A76" s="15" t="n">
        <v>75</v>
      </c>
      <c r="B76" s="16" t="inlineStr">
        <is>
          <t>Level 1 – Main page</t>
        </is>
      </c>
      <c r="C76" s="15" t="inlineStr">
        <is>
          <t>Footer – Legal</t>
        </is>
      </c>
      <c r="D76" s="15" t="inlineStr">
        <is>
          <t>Home</t>
        </is>
      </c>
      <c r="E76" s="16" t="inlineStr">
        <is>
          <t>Disclaimer</t>
        </is>
      </c>
      <c r="F76" s="15" t="inlineStr">
        <is>
          <t>https://hytengineering.com/disclaimer/</t>
        </is>
      </c>
      <c r="G76" s="15" t="inlineStr">
        <is>
          <t>Legal page</t>
        </is>
      </c>
      <c r="H76" s="15" t="inlineStr">
        <is>
          <t>Website disclaimer</t>
        </is>
      </c>
      <c r="I76" s="15" t="inlineStr"/>
      <c r="J76" s="15" t="inlineStr"/>
      <c r="K76" s="15" t="inlineStr">
        <is>
          <t>No</t>
        </is>
      </c>
      <c r="L76" s="15" t="inlineStr">
        <is>
          <t>Yes</t>
        </is>
      </c>
      <c r="M76" s="15" t="inlineStr">
        <is>
          <t>Yes</t>
        </is>
      </c>
      <c r="N76" s="15" t="inlineStr">
        <is>
          <t>Yes</t>
        </is>
      </c>
      <c r="O76" s="15" t="inlineStr"/>
    </row>
    <row r="77">
      <c r="A77" s="15" t="n">
        <v>76</v>
      </c>
      <c r="B77" s="16" t="inlineStr">
        <is>
          <t>Level 1 – Main page</t>
        </is>
      </c>
      <c r="C77" s="15" t="inlineStr">
        <is>
          <t>Footer – Legal</t>
        </is>
      </c>
      <c r="D77" s="15" t="inlineStr">
        <is>
          <t>Home</t>
        </is>
      </c>
      <c r="E77" s="16" t="inlineStr">
        <is>
          <t>Cookie Policy</t>
        </is>
      </c>
      <c r="F77" s="15" t="inlineStr">
        <is>
          <t>https://hytengineering.com/cookie-policy/</t>
        </is>
      </c>
      <c r="G77" s="15" t="inlineStr">
        <is>
          <t>Legal page</t>
        </is>
      </c>
      <c r="H77" s="15" t="inlineStr">
        <is>
          <t>Cookie Policy</t>
        </is>
      </c>
      <c r="I77" s="15" t="inlineStr"/>
      <c r="J77" s="15" t="inlineStr"/>
      <c r="K77" s="15" t="inlineStr">
        <is>
          <t>No</t>
        </is>
      </c>
      <c r="L77" s="15" t="inlineStr">
        <is>
          <t>Yes</t>
        </is>
      </c>
      <c r="M77" s="15" t="inlineStr">
        <is>
          <t>Yes</t>
        </is>
      </c>
      <c r="N77" s="15" t="inlineStr">
        <is>
          <t>Yes</t>
        </is>
      </c>
      <c r="O77" s="15" t="inlineStr"/>
    </row>
    <row r="78">
      <c r="A78" s="15" t="n">
        <v>77</v>
      </c>
      <c r="B78" s="16" t="inlineStr">
        <is>
          <t>Level 1 – Main page</t>
        </is>
      </c>
      <c r="C78" s="15" t="inlineStr">
        <is>
          <t>Footer / Utility</t>
        </is>
      </c>
      <c r="D78" s="15" t="inlineStr">
        <is>
          <t>Home</t>
        </is>
      </c>
      <c r="E78" s="16" t="inlineStr">
        <is>
          <t>Sitemap</t>
        </is>
      </c>
      <c r="F78" s="15" t="inlineStr">
        <is>
          <t>https://hytengineering.com/sitemap/</t>
        </is>
      </c>
      <c r="G78" s="15" t="inlineStr">
        <is>
          <t>Utility page</t>
        </is>
      </c>
      <c r="H78" s="15" t="inlineStr">
        <is>
          <t>Sitemap</t>
        </is>
      </c>
      <c r="I78" s="15" t="inlineStr">
        <is>
          <t>All pages | Not sure where to begin?</t>
        </is>
      </c>
      <c r="J78" s="15" t="inlineStr">
        <is>
          <t>Searchable sitemap</t>
        </is>
      </c>
      <c r="K78" s="15" t="inlineStr">
        <is>
          <t>No</t>
        </is>
      </c>
      <c r="L78" s="15" t="inlineStr">
        <is>
          <t>Yes</t>
        </is>
      </c>
      <c r="M78" s="15" t="inlineStr">
        <is>
          <t>Yes</t>
        </is>
      </c>
      <c r="N78" s="15" t="inlineStr">
        <is>
          <t>No</t>
        </is>
      </c>
      <c r="O78" s="15" t="inlineStr"/>
    </row>
    <row r="79">
      <c r="A79" s="15" t="n">
        <v>78</v>
      </c>
      <c r="B79" s="16" t="inlineStr">
        <is>
          <t>Level 1 – Main page</t>
        </is>
      </c>
      <c r="C79" s="15" t="inlineStr">
        <is>
          <t>Footer / Utility</t>
        </is>
      </c>
      <c r="D79" s="15" t="inlineStr">
        <is>
          <t>Home</t>
        </is>
      </c>
      <c r="E79" s="16" t="inlineStr">
        <is>
          <t>Page Not Found</t>
        </is>
      </c>
      <c r="F79" s="15" t="inlineStr">
        <is>
          <t>https://hytengineering.com/404.html</t>
        </is>
      </c>
      <c r="G79" s="15" t="inlineStr">
        <is>
          <t>Utility page</t>
        </is>
      </c>
      <c r="H79" s="15" t="inlineStr">
        <is>
          <t>Page not found</t>
        </is>
      </c>
      <c r="I79" s="15" t="inlineStr">
        <is>
          <t>Try one of these pages</t>
        </is>
      </c>
      <c r="J79" s="15" t="inlineStr"/>
      <c r="K79" s="15" t="inlineStr">
        <is>
          <t>No</t>
        </is>
      </c>
      <c r="L79" s="15" t="inlineStr">
        <is>
          <t>No</t>
        </is>
      </c>
      <c r="M79" s="15" t="inlineStr">
        <is>
          <t>No (noindex)</t>
        </is>
      </c>
      <c r="N79" s="15" t="inlineStr">
        <is>
          <t>No</t>
        </is>
      </c>
      <c r="O79" s="15" t="inlineStr"/>
    </row>
  </sheetData>
  <autoFilter ref="A1:O79"/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0" r:id="rId9"/>
    <hyperlink xmlns:r="http://schemas.openxmlformats.org/officeDocument/2006/relationships" ref="F11" r:id="rId10"/>
    <hyperlink xmlns:r="http://schemas.openxmlformats.org/officeDocument/2006/relationships" ref="F12" r:id="rId11"/>
    <hyperlink xmlns:r="http://schemas.openxmlformats.org/officeDocument/2006/relationships" ref="F13" r:id="rId12"/>
    <hyperlink xmlns:r="http://schemas.openxmlformats.org/officeDocument/2006/relationships" ref="F14" r:id="rId13"/>
    <hyperlink xmlns:r="http://schemas.openxmlformats.org/officeDocument/2006/relationships" ref="F15" r:id="rId14"/>
    <hyperlink xmlns:r="http://schemas.openxmlformats.org/officeDocument/2006/relationships" ref="F16" r:id="rId15"/>
    <hyperlink xmlns:r="http://schemas.openxmlformats.org/officeDocument/2006/relationships" ref="F17" r:id="rId16"/>
    <hyperlink xmlns:r="http://schemas.openxmlformats.org/officeDocument/2006/relationships" ref="F18" r:id="rId17"/>
    <hyperlink xmlns:r="http://schemas.openxmlformats.org/officeDocument/2006/relationships" ref="F19" r:id="rId18"/>
    <hyperlink xmlns:r="http://schemas.openxmlformats.org/officeDocument/2006/relationships" ref="F20" r:id="rId19"/>
    <hyperlink xmlns:r="http://schemas.openxmlformats.org/officeDocument/2006/relationships" ref="F21" r:id="rId20"/>
    <hyperlink xmlns:r="http://schemas.openxmlformats.org/officeDocument/2006/relationships" ref="F22" r:id="rId21"/>
    <hyperlink xmlns:r="http://schemas.openxmlformats.org/officeDocument/2006/relationships" ref="F23" r:id="rId22"/>
    <hyperlink xmlns:r="http://schemas.openxmlformats.org/officeDocument/2006/relationships" ref="F24" r:id="rId23"/>
    <hyperlink xmlns:r="http://schemas.openxmlformats.org/officeDocument/2006/relationships" ref="F25" r:id="rId24"/>
    <hyperlink xmlns:r="http://schemas.openxmlformats.org/officeDocument/2006/relationships" ref="F26" r:id="rId25"/>
    <hyperlink xmlns:r="http://schemas.openxmlformats.org/officeDocument/2006/relationships" ref="F27" r:id="rId26"/>
    <hyperlink xmlns:r="http://schemas.openxmlformats.org/officeDocument/2006/relationships" ref="F28" r:id="rId27"/>
    <hyperlink xmlns:r="http://schemas.openxmlformats.org/officeDocument/2006/relationships" ref="F29" r:id="rId28"/>
    <hyperlink xmlns:r="http://schemas.openxmlformats.org/officeDocument/2006/relationships" ref="F30" r:id="rId29"/>
    <hyperlink xmlns:r="http://schemas.openxmlformats.org/officeDocument/2006/relationships" ref="F31" r:id="rId30"/>
    <hyperlink xmlns:r="http://schemas.openxmlformats.org/officeDocument/2006/relationships" ref="F32" r:id="rId31"/>
    <hyperlink xmlns:r="http://schemas.openxmlformats.org/officeDocument/2006/relationships" ref="F33" r:id="rId32"/>
    <hyperlink xmlns:r="http://schemas.openxmlformats.org/officeDocument/2006/relationships" ref="F34" r:id="rId33"/>
    <hyperlink xmlns:r="http://schemas.openxmlformats.org/officeDocument/2006/relationships" ref="F35" r:id="rId34"/>
    <hyperlink xmlns:r="http://schemas.openxmlformats.org/officeDocument/2006/relationships" ref="F36" r:id="rId35"/>
    <hyperlink xmlns:r="http://schemas.openxmlformats.org/officeDocument/2006/relationships" ref="F37" r:id="rId36"/>
    <hyperlink xmlns:r="http://schemas.openxmlformats.org/officeDocument/2006/relationships" ref="F38" r:id="rId37"/>
    <hyperlink xmlns:r="http://schemas.openxmlformats.org/officeDocument/2006/relationships" ref="F39" r:id="rId38"/>
    <hyperlink xmlns:r="http://schemas.openxmlformats.org/officeDocument/2006/relationships" ref="F40" r:id="rId39"/>
    <hyperlink xmlns:r="http://schemas.openxmlformats.org/officeDocument/2006/relationships" ref="F41" r:id="rId40"/>
    <hyperlink xmlns:r="http://schemas.openxmlformats.org/officeDocument/2006/relationships" ref="F42" r:id="rId41"/>
    <hyperlink xmlns:r="http://schemas.openxmlformats.org/officeDocument/2006/relationships" ref="F43" r:id="rId42"/>
    <hyperlink xmlns:r="http://schemas.openxmlformats.org/officeDocument/2006/relationships" ref="F44" r:id="rId43"/>
    <hyperlink xmlns:r="http://schemas.openxmlformats.org/officeDocument/2006/relationships" ref="F45" r:id="rId44"/>
    <hyperlink xmlns:r="http://schemas.openxmlformats.org/officeDocument/2006/relationships" ref="F46" r:id="rId45"/>
    <hyperlink xmlns:r="http://schemas.openxmlformats.org/officeDocument/2006/relationships" ref="F47" r:id="rId46"/>
    <hyperlink xmlns:r="http://schemas.openxmlformats.org/officeDocument/2006/relationships" ref="F48" r:id="rId47"/>
    <hyperlink xmlns:r="http://schemas.openxmlformats.org/officeDocument/2006/relationships" ref="F49" r:id="rId48"/>
    <hyperlink xmlns:r="http://schemas.openxmlformats.org/officeDocument/2006/relationships" ref="F50" r:id="rId49"/>
    <hyperlink xmlns:r="http://schemas.openxmlformats.org/officeDocument/2006/relationships" ref="F51" r:id="rId50"/>
    <hyperlink xmlns:r="http://schemas.openxmlformats.org/officeDocument/2006/relationships" ref="F52" r:id="rId51"/>
    <hyperlink xmlns:r="http://schemas.openxmlformats.org/officeDocument/2006/relationships" ref="F53" r:id="rId52"/>
    <hyperlink xmlns:r="http://schemas.openxmlformats.org/officeDocument/2006/relationships" ref="F54" r:id="rId53"/>
    <hyperlink xmlns:r="http://schemas.openxmlformats.org/officeDocument/2006/relationships" ref="F55" r:id="rId54"/>
    <hyperlink xmlns:r="http://schemas.openxmlformats.org/officeDocument/2006/relationships" ref="F56" r:id="rId55"/>
    <hyperlink xmlns:r="http://schemas.openxmlformats.org/officeDocument/2006/relationships" ref="F57" r:id="rId56"/>
    <hyperlink xmlns:r="http://schemas.openxmlformats.org/officeDocument/2006/relationships" ref="F58" r:id="rId57"/>
    <hyperlink xmlns:r="http://schemas.openxmlformats.org/officeDocument/2006/relationships" ref="F59" r:id="rId58"/>
    <hyperlink xmlns:r="http://schemas.openxmlformats.org/officeDocument/2006/relationships" ref="F60" r:id="rId59"/>
    <hyperlink xmlns:r="http://schemas.openxmlformats.org/officeDocument/2006/relationships" ref="F61" r:id="rId60"/>
    <hyperlink xmlns:r="http://schemas.openxmlformats.org/officeDocument/2006/relationships" ref="F62" r:id="rId61"/>
    <hyperlink xmlns:r="http://schemas.openxmlformats.org/officeDocument/2006/relationships" ref="F63" r:id="rId62"/>
    <hyperlink xmlns:r="http://schemas.openxmlformats.org/officeDocument/2006/relationships" ref="F64" r:id="rId63"/>
    <hyperlink xmlns:r="http://schemas.openxmlformats.org/officeDocument/2006/relationships" ref="F65" r:id="rId64"/>
    <hyperlink xmlns:r="http://schemas.openxmlformats.org/officeDocument/2006/relationships" ref="F66" r:id="rId65"/>
    <hyperlink xmlns:r="http://schemas.openxmlformats.org/officeDocument/2006/relationships" ref="F67" r:id="rId66"/>
    <hyperlink xmlns:r="http://schemas.openxmlformats.org/officeDocument/2006/relationships" ref="F68" r:id="rId67"/>
    <hyperlink xmlns:r="http://schemas.openxmlformats.org/officeDocument/2006/relationships" ref="F69" r:id="rId68"/>
    <hyperlink xmlns:r="http://schemas.openxmlformats.org/officeDocument/2006/relationships" ref="F70" r:id="rId69"/>
    <hyperlink xmlns:r="http://schemas.openxmlformats.org/officeDocument/2006/relationships" ref="F71" r:id="rId70"/>
    <hyperlink xmlns:r="http://schemas.openxmlformats.org/officeDocument/2006/relationships" ref="F72" r:id="rId71"/>
    <hyperlink xmlns:r="http://schemas.openxmlformats.org/officeDocument/2006/relationships" ref="F73" r:id="rId72"/>
    <hyperlink xmlns:r="http://schemas.openxmlformats.org/officeDocument/2006/relationships" ref="F74" r:id="rId73"/>
    <hyperlink xmlns:r="http://schemas.openxmlformats.org/officeDocument/2006/relationships" ref="F75" r:id="rId74"/>
    <hyperlink xmlns:r="http://schemas.openxmlformats.org/officeDocument/2006/relationships" ref="F76" r:id="rId75"/>
    <hyperlink xmlns:r="http://schemas.openxmlformats.org/officeDocument/2006/relationships" ref="F77" r:id="rId76"/>
    <hyperlink xmlns:r="http://schemas.openxmlformats.org/officeDocument/2006/relationships" ref="F78" r:id="rId77"/>
    <hyperlink xmlns:r="http://schemas.openxmlformats.org/officeDocument/2006/relationships" ref="F79" r:id="rId7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46" customWidth="1" min="3" max="3"/>
    <col width="9" customWidth="1" min="4" max="4"/>
    <col width="56" customWidth="1" min="5" max="5"/>
  </cols>
  <sheetData>
    <row r="1" ht="30" customHeight="1">
      <c r="A1" s="12" t="inlineStr">
        <is>
          <t>Top Menu Item</t>
        </is>
      </c>
      <c r="B1" s="12" t="inlineStr">
        <is>
          <t>Dropdown Group</t>
        </is>
      </c>
      <c r="C1" s="12" t="inlineStr">
        <is>
          <t>Menu Link</t>
        </is>
      </c>
      <c r="D1" s="12" t="inlineStr">
        <is>
          <t>Indent</t>
        </is>
      </c>
      <c r="E1" s="12" t="inlineStr">
        <is>
          <t>URL</t>
        </is>
      </c>
    </row>
    <row r="2">
      <c r="A2" s="19" t="inlineStr">
        <is>
          <t>About Us</t>
        </is>
      </c>
      <c r="B2" s="19" t="inlineStr">
        <is>
          <t>Who We Are</t>
        </is>
      </c>
      <c r="C2" s="19" t="inlineStr">
        <is>
          <t>About Us</t>
        </is>
      </c>
      <c r="D2" s="19" t="inlineStr"/>
      <c r="E2" s="19" t="inlineStr">
        <is>
          <t>https://hytengineering.com/company/</t>
        </is>
      </c>
    </row>
    <row r="3">
      <c r="A3" s="19" t="inlineStr">
        <is>
          <t>About Us</t>
        </is>
      </c>
      <c r="B3" s="19" t="inlineStr">
        <is>
          <t>Who We Are</t>
        </is>
      </c>
      <c r="C3" s="19" t="inlineStr">
        <is>
          <t>Group Companies</t>
        </is>
      </c>
      <c r="D3" s="19" t="inlineStr"/>
      <c r="E3" s="19" t="inlineStr">
        <is>
          <t>https://hytengineering.com/group-companies/</t>
        </is>
      </c>
    </row>
    <row r="4">
      <c r="A4" s="19" t="inlineStr">
        <is>
          <t>About Us</t>
        </is>
      </c>
      <c r="B4" s="19" t="inlineStr">
        <is>
          <t>Who We Are</t>
        </is>
      </c>
      <c r="C4" s="19" t="inlineStr">
        <is>
          <t>History</t>
        </is>
      </c>
      <c r="D4" s="19" t="inlineStr"/>
      <c r="E4" s="19" t="inlineStr">
        <is>
          <t>https://hytengineering.com/history/</t>
        </is>
      </c>
    </row>
    <row r="5">
      <c r="A5" s="19" t="inlineStr">
        <is>
          <t>About Us</t>
        </is>
      </c>
      <c r="B5" s="19" t="inlineStr">
        <is>
          <t>Credentials</t>
        </is>
      </c>
      <c r="C5" s="19" t="inlineStr">
        <is>
          <t>Quality</t>
        </is>
      </c>
      <c r="D5" s="19" t="inlineStr"/>
      <c r="E5" s="19" t="inlineStr">
        <is>
          <t>https://hytengineering.com/quality/</t>
        </is>
      </c>
    </row>
    <row r="6">
      <c r="A6" s="19" t="inlineStr">
        <is>
          <t>About Us</t>
        </is>
      </c>
      <c r="B6" s="19" t="inlineStr">
        <is>
          <t>Credentials</t>
        </is>
      </c>
      <c r="C6" s="19" t="inlineStr">
        <is>
          <t>Certifications</t>
        </is>
      </c>
      <c r="D6" s="19" t="inlineStr">
        <is>
          <t>Sub-item</t>
        </is>
      </c>
      <c r="E6" s="19" t="inlineStr">
        <is>
          <t>https://hytengineering.com/certifications/</t>
        </is>
      </c>
    </row>
    <row r="7">
      <c r="A7" s="19" t="inlineStr">
        <is>
          <t>About Us</t>
        </is>
      </c>
      <c r="B7" s="19" t="inlineStr">
        <is>
          <t>Credentials</t>
        </is>
      </c>
      <c r="C7" s="19" t="inlineStr">
        <is>
          <t>Awards</t>
        </is>
      </c>
      <c r="D7" s="19" t="inlineStr"/>
      <c r="E7" s="19" t="inlineStr">
        <is>
          <t>https://hytengineering.com/awards/</t>
        </is>
      </c>
    </row>
    <row r="8">
      <c r="A8" s="19" t="inlineStr">
        <is>
          <t>About Us</t>
        </is>
      </c>
      <c r="B8" s="19" t="inlineStr">
        <is>
          <t>Credentials</t>
        </is>
      </c>
      <c r="C8" s="19" t="inlineStr">
        <is>
          <t>Clientele</t>
        </is>
      </c>
      <c r="D8" s="19" t="inlineStr"/>
      <c r="E8" s="19" t="inlineStr">
        <is>
          <t>https://hytengineering.com/clientele/</t>
        </is>
      </c>
    </row>
    <row r="9">
      <c r="A9" s="19" t="inlineStr">
        <is>
          <t>About Us</t>
        </is>
      </c>
      <c r="B9" s="19" t="inlineStr">
        <is>
          <t>Responsibility</t>
        </is>
      </c>
      <c r="C9" s="19" t="inlineStr">
        <is>
          <t>CSR</t>
        </is>
      </c>
      <c r="D9" s="19" t="inlineStr"/>
      <c r="E9" s="19" t="inlineStr">
        <is>
          <t>https://hytengineering.com/csr/</t>
        </is>
      </c>
    </row>
    <row r="10">
      <c r="A10" s="19" t="inlineStr">
        <is>
          <t>About Us</t>
        </is>
      </c>
      <c r="B10" s="19" t="inlineStr">
        <is>
          <t>Responsibility</t>
        </is>
      </c>
      <c r="C10" s="19" t="inlineStr">
        <is>
          <t>Compliance</t>
        </is>
      </c>
      <c r="D10" s="19" t="inlineStr"/>
      <c r="E10" s="19" t="inlineStr">
        <is>
          <t>https://hytengineering.com/compliance/</t>
        </is>
      </c>
    </row>
    <row r="11">
      <c r="A11" s="19" t="inlineStr">
        <is>
          <t>Products</t>
        </is>
      </c>
      <c r="B11" s="19" t="inlineStr">
        <is>
          <t>Wheel Lathes</t>
        </is>
      </c>
      <c r="C11" s="19" t="inlineStr">
        <is>
          <t>CNC Surface Wheel Lathe</t>
        </is>
      </c>
      <c r="D11" s="19" t="inlineStr"/>
      <c r="E11" s="19" t="inlineStr">
        <is>
          <t>https://hytengineering.com/surface-wheel-lathe/</t>
        </is>
      </c>
    </row>
    <row r="12">
      <c r="A12" s="19" t="inlineStr">
        <is>
          <t>Products</t>
        </is>
      </c>
      <c r="B12" s="19" t="inlineStr">
        <is>
          <t>Wheel Lathes</t>
        </is>
      </c>
      <c r="C12" s="19" t="inlineStr">
        <is>
          <t>CNC Underfloor Wheel Lathe (YUL-08)</t>
        </is>
      </c>
      <c r="D12" s="19" t="inlineStr"/>
      <c r="E12" s="19" t="inlineStr">
        <is>
          <t>https://hytengineering.com/underfloor-wheel-lathe/</t>
        </is>
      </c>
    </row>
    <row r="13">
      <c r="A13" s="19" t="inlineStr">
        <is>
          <t>Products</t>
        </is>
      </c>
      <c r="B13" s="19" t="inlineStr">
        <is>
          <t>Wheel Lathes</t>
        </is>
      </c>
      <c r="C13" s="19" t="inlineStr">
        <is>
          <t>CNC Underfloor Wheel Lathe (YUGL)</t>
        </is>
      </c>
      <c r="D13" s="19" t="inlineStr"/>
      <c r="E13" s="19" t="inlineStr">
        <is>
          <t>https://hytengineering.com/underfloor-wheel-lathe-yugl/</t>
        </is>
      </c>
    </row>
    <row r="14">
      <c r="A14" s="19" t="inlineStr">
        <is>
          <t>Products</t>
        </is>
      </c>
      <c r="B14" s="19" t="inlineStr">
        <is>
          <t>Wheel Lathes</t>
        </is>
      </c>
      <c r="C14" s="19" t="inlineStr">
        <is>
          <t>CNC Tandem Underfloor Wheel Lathe (YUL-12T)</t>
        </is>
      </c>
      <c r="D14" s="19" t="inlineStr"/>
      <c r="E14" s="19" t="inlineStr">
        <is>
          <t>https://hytengineering.com/tandem-underfloor-wheel-lathe/</t>
        </is>
      </c>
    </row>
    <row r="15">
      <c r="A15" s="19" t="inlineStr">
        <is>
          <t>Products</t>
        </is>
      </c>
      <c r="B15" s="19" t="inlineStr">
        <is>
          <t>Wheel Lathes</t>
        </is>
      </c>
      <c r="C15" s="19" t="inlineStr">
        <is>
          <t>CNC Tandem Underfloor Wheel Lathe (YUGLX)</t>
        </is>
      </c>
      <c r="D15" s="19" t="inlineStr"/>
      <c r="E15" s="19" t="inlineStr">
        <is>
          <t>https://hytengineering.com/tandem-underfloor-wheel-lathe-yuglx/</t>
        </is>
      </c>
    </row>
    <row r="16">
      <c r="A16" s="19" t="inlineStr">
        <is>
          <t>Products</t>
        </is>
      </c>
      <c r="B16" s="19" t="inlineStr">
        <is>
          <t>Wheel Lathes</t>
        </is>
      </c>
      <c r="C16" s="19" t="inlineStr">
        <is>
          <t>CNC Portal Wheel Lathe</t>
        </is>
      </c>
      <c r="D16" s="19" t="inlineStr"/>
      <c r="E16" s="19" t="inlineStr">
        <is>
          <t>https://hytengineering.com/portal-wheel-lathe/</t>
        </is>
      </c>
    </row>
    <row r="17">
      <c r="A17" s="19" t="inlineStr">
        <is>
          <t>Products</t>
        </is>
      </c>
      <c r="B17" s="19" t="inlineStr">
        <is>
          <t>Wheel Lathes</t>
        </is>
      </c>
      <c r="C17" s="19" t="inlineStr">
        <is>
          <t>CNC Roller Type Portal Wheel Lathe</t>
        </is>
      </c>
      <c r="D17" s="19" t="inlineStr"/>
      <c r="E17" s="19" t="inlineStr">
        <is>
          <t>https://hytengineering.com/roller-type-portal-wheel-lathe/</t>
        </is>
      </c>
    </row>
    <row r="18">
      <c r="A18" s="19" t="inlineStr">
        <is>
          <t>Products</t>
        </is>
      </c>
      <c r="B18" s="19" t="inlineStr">
        <is>
          <t>Wheel &amp; Axle Shop Machines</t>
        </is>
      </c>
      <c r="C18" s="19" t="inlineStr">
        <is>
          <t>CNC Vertical Turning &amp; Boring Machine</t>
        </is>
      </c>
      <c r="D18" s="19" t="inlineStr"/>
      <c r="E18" s="19" t="inlineStr">
        <is>
          <t>https://hytengineering.com/vertical-turning-boring-machine/</t>
        </is>
      </c>
    </row>
    <row r="19">
      <c r="A19" s="19" t="inlineStr">
        <is>
          <t>Products</t>
        </is>
      </c>
      <c r="B19" s="19" t="inlineStr">
        <is>
          <t>Wheel &amp; Axle Shop Machines</t>
        </is>
      </c>
      <c r="C19" s="19" t="inlineStr">
        <is>
          <t>CNC Axle Journal Turning &amp; Burnishing Lathe</t>
        </is>
      </c>
      <c r="D19" s="19" t="inlineStr"/>
      <c r="E19" s="19" t="inlineStr">
        <is>
          <t>https://hytengineering.com/axle-journal-turning-burnishing-lathe/</t>
        </is>
      </c>
    </row>
    <row r="20">
      <c r="A20" s="19" t="inlineStr">
        <is>
          <t>Products</t>
        </is>
      </c>
      <c r="B20" s="19" t="inlineStr">
        <is>
          <t>Wheel &amp; Axle Shop Machines</t>
        </is>
      </c>
      <c r="C20" s="19" t="inlineStr">
        <is>
          <t>CNC Axle Turning Lathe</t>
        </is>
      </c>
      <c r="D20" s="19" t="inlineStr"/>
      <c r="E20" s="19" t="inlineStr">
        <is>
          <t>https://hytengineering.com/axle-turning-lathe/</t>
        </is>
      </c>
    </row>
    <row r="21">
      <c r="A21" s="19" t="inlineStr">
        <is>
          <t>Products</t>
        </is>
      </c>
      <c r="B21" s="19" t="inlineStr">
        <is>
          <t>Wheel &amp; Axle Shop Machines</t>
        </is>
      </c>
      <c r="C21" s="19" t="inlineStr">
        <is>
          <t>Wheel Press</t>
        </is>
      </c>
      <c r="D21" s="19" t="inlineStr"/>
      <c r="E21" s="19" t="inlineStr">
        <is>
          <t>https://hytengineering.com/wheel-presses/</t>
        </is>
      </c>
    </row>
    <row r="22">
      <c r="A22" s="19" t="inlineStr">
        <is>
          <t>Products</t>
        </is>
      </c>
      <c r="B22" s="19" t="inlineStr">
        <is>
          <t>Wheel &amp; Axle Shop Machines</t>
        </is>
      </c>
      <c r="C22" s="19" t="inlineStr">
        <is>
          <t>Wheel Measuring Station</t>
        </is>
      </c>
      <c r="D22" s="19" t="inlineStr"/>
      <c r="E22" s="19" t="inlineStr">
        <is>
          <t>https://hytengineering.com/wheel-measuring-station/</t>
        </is>
      </c>
    </row>
    <row r="23">
      <c r="A23" s="19" t="inlineStr">
        <is>
          <t>Products</t>
        </is>
      </c>
      <c r="B23" s="19" t="inlineStr">
        <is>
          <t>Wheel &amp; Axle Shop Machines</t>
        </is>
      </c>
      <c r="C23" s="19" t="inlineStr">
        <is>
          <t>Dynamic Wheel Balancing Machine</t>
        </is>
      </c>
      <c r="D23" s="19" t="inlineStr"/>
      <c r="E23" s="19" t="inlineStr">
        <is>
          <t>https://hytengineering.com/dynamic-wheel-balancing-machine/</t>
        </is>
      </c>
    </row>
    <row r="24">
      <c r="A24" s="19" t="inlineStr">
        <is>
          <t>Products</t>
        </is>
      </c>
      <c r="B24" s="19" t="inlineStr">
        <is>
          <t>Depot &amp; Workshop Equipment</t>
        </is>
      </c>
      <c r="C24" s="19" t="inlineStr">
        <is>
          <t>Multipurpose Armature Machine</t>
        </is>
      </c>
      <c r="D24" s="19" t="inlineStr"/>
      <c r="E24" s="19" t="inlineStr">
        <is>
          <t>https://hytengineering.com/multi-purpose-armature-machine/</t>
        </is>
      </c>
    </row>
    <row r="25">
      <c r="A25" s="19" t="inlineStr">
        <is>
          <t>Products</t>
        </is>
      </c>
      <c r="B25" s="19" t="inlineStr">
        <is>
          <t>Depot &amp; Workshop Equipment</t>
        </is>
      </c>
      <c r="C25" s="19" t="inlineStr">
        <is>
          <t>Automated Train Washing Plant</t>
        </is>
      </c>
      <c r="D25" s="19" t="inlineStr"/>
      <c r="E25" s="19" t="inlineStr">
        <is>
          <t>https://hytengineering.com/automated-train-washing-plant/</t>
        </is>
      </c>
    </row>
    <row r="26">
      <c r="A26" s="19" t="inlineStr">
        <is>
          <t>Products</t>
        </is>
      </c>
      <c r="B26" s="19" t="inlineStr">
        <is>
          <t>Depot &amp; Workshop Equipment</t>
        </is>
      </c>
      <c r="C26" s="19" t="inlineStr">
        <is>
          <t>Rail cum Road Vehicle (Shunter)</t>
        </is>
      </c>
      <c r="D26" s="19" t="inlineStr"/>
      <c r="E26" s="19" t="inlineStr">
        <is>
          <t>https://hytengineering.com/rail-cum-road-vehicle-shunter/</t>
        </is>
      </c>
    </row>
    <row r="27">
      <c r="A27" s="19" t="inlineStr">
        <is>
          <t>Products</t>
        </is>
      </c>
      <c r="B27" s="19" t="inlineStr">
        <is>
          <t>Partner Products</t>
        </is>
      </c>
      <c r="C27" s="19" t="inlineStr">
        <is>
          <t>SKC Gleittechnik (Germany)</t>
        </is>
      </c>
      <c r="D27" s="19" t="inlineStr"/>
      <c r="E27" s="19" t="inlineStr">
        <is>
          <t>https://hytengineering.com/skc-gleittechnik-gmbh-germany/</t>
        </is>
      </c>
    </row>
    <row r="28">
      <c r="A28" s="19" t="inlineStr">
        <is>
          <t>Turnkey Projects</t>
        </is>
      </c>
      <c r="B28" s="19" t="inlineStr">
        <is>
          <t>Turnkey Solutions</t>
        </is>
      </c>
      <c r="C28" s="19" t="inlineStr">
        <is>
          <t>Wheel Shops</t>
        </is>
      </c>
      <c r="D28" s="19" t="inlineStr"/>
      <c r="E28" s="19" t="inlineStr">
        <is>
          <t>https://hytengineering.com/turnkey-project/wheel-shops/</t>
        </is>
      </c>
    </row>
    <row r="29">
      <c r="A29" s="19" t="inlineStr">
        <is>
          <t>Turnkey Projects</t>
        </is>
      </c>
      <c r="B29" s="19" t="inlineStr">
        <is>
          <t>Turnkey Solutions</t>
        </is>
      </c>
      <c r="C29" s="19" t="inlineStr">
        <is>
          <t>Railway Maintenance Depots</t>
        </is>
      </c>
      <c r="D29" s="19" t="inlineStr"/>
      <c r="E29" s="19" t="inlineStr">
        <is>
          <t>https://hytengineering.com/turnkey-project/railway-maintenance-depots/</t>
        </is>
      </c>
    </row>
    <row r="30">
      <c r="A30" s="19" t="inlineStr">
        <is>
          <t>Turnkey Projects</t>
        </is>
      </c>
      <c r="B30" s="19" t="inlineStr">
        <is>
          <t>Turnkey Solutions</t>
        </is>
      </c>
      <c r="C30" s="19" t="inlineStr">
        <is>
          <t>Rolling Stock Manufacturing Facilities</t>
        </is>
      </c>
      <c r="D30" s="19" t="inlineStr"/>
      <c r="E30" s="19" t="inlineStr">
        <is>
          <t>https://hytengineering.com/turnkey-project/rolling-stock-manufacturing-facilities/</t>
        </is>
      </c>
    </row>
    <row r="31">
      <c r="A31" s="19" t="inlineStr">
        <is>
          <t>Turnkey Projects</t>
        </is>
      </c>
      <c r="B31" s="19" t="inlineStr">
        <is>
          <t>Turnkey Solutions</t>
        </is>
      </c>
      <c r="C31" s="19" t="inlineStr">
        <is>
          <t>Wheelset Manufacturing Plants</t>
        </is>
      </c>
      <c r="D31" s="19" t="inlineStr"/>
      <c r="E31" s="19" t="inlineStr">
        <is>
          <t>https://hytengineering.com/turnkey-project/wheelset-manufacturing-plants/</t>
        </is>
      </c>
    </row>
    <row r="32">
      <c r="A32" s="19" t="inlineStr">
        <is>
          <t>Turnkey Projects</t>
        </is>
      </c>
      <c r="B32" s="19" t="inlineStr">
        <is>
          <t>Turnkey Solutions</t>
        </is>
      </c>
      <c r="C32" s="19" t="inlineStr">
        <is>
          <t>Wheel Machining Lines</t>
        </is>
      </c>
      <c r="D32" s="19" t="inlineStr"/>
      <c r="E32" s="19" t="inlineStr">
        <is>
          <t>https://hytengineering.com/turnkey-project/wheel-machining-lines/</t>
        </is>
      </c>
    </row>
    <row r="33">
      <c r="A33" s="19" t="inlineStr">
        <is>
          <t>Turnkey Projects</t>
        </is>
      </c>
      <c r="B33" s="19" t="inlineStr">
        <is>
          <t>Turnkey Solutions</t>
        </is>
      </c>
      <c r="C33" s="19" t="inlineStr">
        <is>
          <t>Axle Machining Lines</t>
        </is>
      </c>
      <c r="D33" s="19" t="inlineStr"/>
      <c r="E33" s="19" t="inlineStr">
        <is>
          <t>https://hytengineering.com/turnkey-project/axle-machining-lines/</t>
        </is>
      </c>
    </row>
    <row r="34">
      <c r="A34" s="19" t="inlineStr">
        <is>
          <t>Turnkey Projects</t>
        </is>
      </c>
      <c r="B34" s="19" t="inlineStr">
        <is>
          <t>Projects &amp; Automation</t>
        </is>
      </c>
      <c r="C34" s="19" t="inlineStr">
        <is>
          <t>Executed Projects</t>
        </is>
      </c>
      <c r="D34" s="19" t="inlineStr"/>
      <c r="E34" s="19" t="inlineStr">
        <is>
          <t>https://hytengineering.com/executed-projects/</t>
        </is>
      </c>
    </row>
    <row r="35">
      <c r="A35" s="19" t="inlineStr">
        <is>
          <t>Turnkey Projects</t>
        </is>
      </c>
      <c r="B35" s="19" t="inlineStr">
        <is>
          <t>Projects &amp; Automation</t>
        </is>
      </c>
      <c r="C35" s="19" t="inlineStr">
        <is>
          <t>Projects Under Execution</t>
        </is>
      </c>
      <c r="D35" s="19" t="inlineStr"/>
      <c r="E35" s="19" t="inlineStr">
        <is>
          <t>https://hytengineering.com/under-execution/</t>
        </is>
      </c>
    </row>
    <row r="36">
      <c r="A36" s="19" t="inlineStr">
        <is>
          <t>Services</t>
        </is>
      </c>
      <c r="B36" s="19" t="inlineStr">
        <is>
          <t>—</t>
        </is>
      </c>
      <c r="C36" s="19" t="inlineStr">
        <is>
          <t>Installation &amp; Commissioning</t>
        </is>
      </c>
      <c r="D36" s="19" t="inlineStr"/>
      <c r="E36" s="19" t="inlineStr">
        <is>
          <t>https://hytengineering.com/installation-commissioning/</t>
        </is>
      </c>
    </row>
    <row r="37">
      <c r="A37" s="19" t="inlineStr">
        <is>
          <t>Services</t>
        </is>
      </c>
      <c r="B37" s="19" t="inlineStr">
        <is>
          <t>—</t>
        </is>
      </c>
      <c r="C37" s="19" t="inlineStr">
        <is>
          <t>Maintenance Services</t>
        </is>
      </c>
      <c r="D37" s="19" t="inlineStr"/>
      <c r="E37" s="19" t="inlineStr">
        <is>
          <t>https://hytengineering.com/maintenance/</t>
        </is>
      </c>
    </row>
    <row r="38">
      <c r="A38" s="19" t="inlineStr">
        <is>
          <t>Services</t>
        </is>
      </c>
      <c r="B38" s="19" t="inlineStr">
        <is>
          <t>—</t>
        </is>
      </c>
      <c r="C38" s="19" t="inlineStr">
        <is>
          <t>Operation &amp; Maintenance (O&amp;M)</t>
        </is>
      </c>
      <c r="D38" s="19" t="inlineStr">
        <is>
          <t>Sub-item</t>
        </is>
      </c>
      <c r="E38" s="19" t="inlineStr">
        <is>
          <t>https://hytengineering.com/operation-and-maintenance/</t>
        </is>
      </c>
    </row>
    <row r="39">
      <c r="A39" s="19" t="inlineStr">
        <is>
          <t>Services</t>
        </is>
      </c>
      <c r="B39" s="19" t="inlineStr">
        <is>
          <t>—</t>
        </is>
      </c>
      <c r="C39" s="19" t="inlineStr">
        <is>
          <t>Annual Maintenance Contract (AMC)</t>
        </is>
      </c>
      <c r="D39" s="19" t="inlineStr">
        <is>
          <t>Sub-item</t>
        </is>
      </c>
      <c r="E39" s="19" t="inlineStr">
        <is>
          <t>https://hytengineering.com/annual-maintenance-contract/</t>
        </is>
      </c>
    </row>
    <row r="40">
      <c r="A40" s="19" t="inlineStr">
        <is>
          <t>Services</t>
        </is>
      </c>
      <c r="B40" s="19" t="inlineStr">
        <is>
          <t>—</t>
        </is>
      </c>
      <c r="C40" s="19" t="inlineStr">
        <is>
          <t>Comprehensive Maintenance Contract (CMC)</t>
        </is>
      </c>
      <c r="D40" s="19" t="inlineStr">
        <is>
          <t>Sub-item</t>
        </is>
      </c>
      <c r="E40" s="19" t="inlineStr">
        <is>
          <t>https://hytengineering.com/comprehensive-annual-maintenance-contract/</t>
        </is>
      </c>
    </row>
    <row r="41">
      <c r="A41" s="19" t="inlineStr">
        <is>
          <t>Services</t>
        </is>
      </c>
      <c r="B41" s="19" t="inlineStr">
        <is>
          <t>—</t>
        </is>
      </c>
      <c r="C41" s="19" t="inlineStr">
        <is>
          <t>Operation Contract</t>
        </is>
      </c>
      <c r="D41" s="19" t="inlineStr">
        <is>
          <t>Sub-item</t>
        </is>
      </c>
      <c r="E41" s="19" t="inlineStr">
        <is>
          <t>https://hytengineering.com/operation-contract/</t>
        </is>
      </c>
    </row>
    <row r="42">
      <c r="A42" s="19" t="inlineStr">
        <is>
          <t>Services</t>
        </is>
      </c>
      <c r="B42" s="19" t="inlineStr">
        <is>
          <t>—</t>
        </is>
      </c>
      <c r="C42" s="19" t="inlineStr">
        <is>
          <t>Service Contract</t>
        </is>
      </c>
      <c r="D42" s="19" t="inlineStr">
        <is>
          <t>Sub-item</t>
        </is>
      </c>
      <c r="E42" s="19" t="inlineStr">
        <is>
          <t>https://hytengineering.com/service-contract/</t>
        </is>
      </c>
    </row>
    <row r="43">
      <c r="A43" s="19" t="inlineStr">
        <is>
          <t>Services</t>
        </is>
      </c>
      <c r="B43" s="19" t="inlineStr">
        <is>
          <t>—</t>
        </is>
      </c>
      <c r="C43" s="19" t="inlineStr">
        <is>
          <t>Spare Parts &amp; Support</t>
        </is>
      </c>
      <c r="D43" s="19" t="inlineStr">
        <is>
          <t>Sub-item</t>
        </is>
      </c>
      <c r="E43" s="19" t="inlineStr">
        <is>
          <t>https://hytengineering.com/spare-supply/</t>
        </is>
      </c>
    </row>
    <row r="44">
      <c r="A44" s="19" t="inlineStr">
        <is>
          <t>Services</t>
        </is>
      </c>
      <c r="B44" s="19" t="inlineStr">
        <is>
          <t>—</t>
        </is>
      </c>
      <c r="C44" s="19" t="inlineStr">
        <is>
          <t>Retro-fitment &amp; Upgradation</t>
        </is>
      </c>
      <c r="D44" s="19" t="inlineStr"/>
      <c r="E44" s="19" t="inlineStr">
        <is>
          <t>https://hytengineering.com/retro-fitment-upgradation/</t>
        </is>
      </c>
    </row>
    <row r="45">
      <c r="A45" s="19" t="inlineStr">
        <is>
          <t>Services</t>
        </is>
      </c>
      <c r="B45" s="19" t="inlineStr">
        <is>
          <t>—</t>
        </is>
      </c>
      <c r="C45" s="19" t="inlineStr">
        <is>
          <t>Repair</t>
        </is>
      </c>
      <c r="D45" s="19" t="inlineStr"/>
      <c r="E45" s="19" t="inlineStr">
        <is>
          <t>https://hytengineering.com/repair/</t>
        </is>
      </c>
    </row>
    <row r="46">
      <c r="A46" s="19" t="inlineStr">
        <is>
          <t>Services</t>
        </is>
      </c>
      <c r="B46" s="19" t="inlineStr">
        <is>
          <t>—</t>
        </is>
      </c>
      <c r="C46" s="19" t="inlineStr">
        <is>
          <t>Machine Relocation &amp; Shifting</t>
        </is>
      </c>
      <c r="D46" s="19" t="inlineStr"/>
      <c r="E46" s="19" t="inlineStr">
        <is>
          <t>https://hytengineering.com/shifting/</t>
        </is>
      </c>
    </row>
    <row r="47">
      <c r="A47" s="19" t="inlineStr">
        <is>
          <t>Services</t>
        </is>
      </c>
      <c r="B47" s="19" t="inlineStr">
        <is>
          <t>—</t>
        </is>
      </c>
      <c r="C47" s="19" t="inlineStr">
        <is>
          <t>MAAS – Machine as a Service (Wet Leasing)</t>
        </is>
      </c>
      <c r="D47" s="19" t="inlineStr"/>
      <c r="E47" s="19" t="inlineStr">
        <is>
          <t>https://hytengineering.com/wet-leasing/</t>
        </is>
      </c>
    </row>
    <row r="48">
      <c r="A48" s="19" t="inlineStr">
        <is>
          <t>Services</t>
        </is>
      </c>
      <c r="B48" s="19" t="inlineStr">
        <is>
          <t>—</t>
        </is>
      </c>
      <c r="C48" s="19" t="inlineStr">
        <is>
          <t>Training</t>
        </is>
      </c>
      <c r="D48" s="19" t="inlineStr"/>
      <c r="E48" s="19" t="inlineStr">
        <is>
          <t>https://hytengineering.com/training/</t>
        </is>
      </c>
    </row>
    <row r="49">
      <c r="A49" s="19" t="inlineStr">
        <is>
          <t>Services</t>
        </is>
      </c>
      <c r="B49" s="19" t="inlineStr">
        <is>
          <t>—</t>
        </is>
      </c>
      <c r="C49" s="19" t="inlineStr">
        <is>
          <t>After-Sales Service Network</t>
        </is>
      </c>
      <c r="D49" s="19" t="inlineStr"/>
      <c r="E49" s="19" t="inlineStr">
        <is>
          <t>https://hytengineering.com/service-centers/</t>
        </is>
      </c>
    </row>
    <row r="50">
      <c r="A50" s="19" t="inlineStr">
        <is>
          <t>Industries</t>
        </is>
      </c>
      <c r="B50" s="19" t="inlineStr">
        <is>
          <t>—</t>
        </is>
      </c>
      <c r="C50" s="19" t="inlineStr">
        <is>
          <t>Railways</t>
        </is>
      </c>
      <c r="D50" s="19" t="inlineStr"/>
      <c r="E50" s="19" t="inlineStr">
        <is>
          <t>https://hytengineering.com/industries/railways/</t>
        </is>
      </c>
    </row>
    <row r="51">
      <c r="A51" s="19" t="inlineStr">
        <is>
          <t>Industries</t>
        </is>
      </c>
      <c r="B51" s="19" t="inlineStr">
        <is>
          <t>—</t>
        </is>
      </c>
      <c r="C51" s="19" t="inlineStr">
        <is>
          <t>Metros</t>
        </is>
      </c>
      <c r="D51" s="19" t="inlineStr"/>
      <c r="E51" s="19" t="inlineStr">
        <is>
          <t>https://hytengineering.com/industries/metros/</t>
        </is>
      </c>
    </row>
    <row r="52">
      <c r="A52" s="19" t="inlineStr">
        <is>
          <t>Industries</t>
        </is>
      </c>
      <c r="B52" s="19" t="inlineStr">
        <is>
          <t>—</t>
        </is>
      </c>
      <c r="C52" s="19" t="inlineStr">
        <is>
          <t>Rolling Stock Manufacturers</t>
        </is>
      </c>
      <c r="D52" s="19" t="inlineStr"/>
      <c r="E52" s="19" t="inlineStr">
        <is>
          <t>https://hytengineering.com/industries/rolling-stock-manufacturers/</t>
        </is>
      </c>
    </row>
    <row r="53">
      <c r="A53" s="19" t="inlineStr">
        <is>
          <t>Industries</t>
        </is>
      </c>
      <c r="B53" s="19" t="inlineStr">
        <is>
          <t>—</t>
        </is>
      </c>
      <c r="C53" s="19" t="inlineStr">
        <is>
          <t>Defence</t>
        </is>
      </c>
      <c r="D53" s="19" t="inlineStr"/>
      <c r="E53" s="19" t="inlineStr">
        <is>
          <t>https://hytengineering.com/industries/defence/</t>
        </is>
      </c>
    </row>
    <row r="54">
      <c r="A54" s="19" t="inlineStr">
        <is>
          <t>Industries</t>
        </is>
      </c>
      <c r="B54" s="19" t="inlineStr">
        <is>
          <t>—</t>
        </is>
      </c>
      <c r="C54" s="19" t="inlineStr">
        <is>
          <t>Heavy Engineering</t>
        </is>
      </c>
      <c r="D54" s="19" t="inlineStr"/>
      <c r="E54" s="19" t="inlineStr">
        <is>
          <t>https://hytengineering.com/industries/heavy-engineering/</t>
        </is>
      </c>
    </row>
    <row r="55">
      <c r="A55" s="19" t="inlineStr">
        <is>
          <t>Media &amp; Resources</t>
        </is>
      </c>
      <c r="B55" s="19" t="inlineStr">
        <is>
          <t>News &amp; Events</t>
        </is>
      </c>
      <c r="C55" s="19" t="inlineStr">
        <is>
          <t>Latest News</t>
        </is>
      </c>
      <c r="D55" s="19" t="inlineStr"/>
      <c r="E55" s="19" t="inlineStr">
        <is>
          <t>https://hytengineering.com/news/</t>
        </is>
      </c>
    </row>
    <row r="56">
      <c r="A56" s="19" t="inlineStr">
        <is>
          <t>Media &amp; Resources</t>
        </is>
      </c>
      <c r="B56" s="19" t="inlineStr">
        <is>
          <t>News &amp; Events</t>
        </is>
      </c>
      <c r="C56" s="19" t="inlineStr">
        <is>
          <t>International Exhibitions</t>
        </is>
      </c>
      <c r="D56" s="19" t="inlineStr"/>
      <c r="E56" s="19" t="inlineStr">
        <is>
          <t>https://hytengineering.com/international-exhibitions/</t>
        </is>
      </c>
    </row>
    <row r="57">
      <c r="A57" s="19" t="inlineStr">
        <is>
          <t>Media &amp; Resources</t>
        </is>
      </c>
      <c r="B57" s="19" t="inlineStr">
        <is>
          <t>News &amp; Events</t>
        </is>
      </c>
      <c r="C57" s="19" t="inlineStr">
        <is>
          <t>Domestic Exhibitions</t>
        </is>
      </c>
      <c r="D57" s="19" t="inlineStr"/>
      <c r="E57" s="19" t="inlineStr">
        <is>
          <t>https://hytengineering.com/domestic-exhibitions/</t>
        </is>
      </c>
    </row>
    <row r="58">
      <c r="A58" s="19" t="inlineStr">
        <is>
          <t>Media &amp; Resources</t>
        </is>
      </c>
      <c r="B58" s="19" t="inlineStr">
        <is>
          <t>Resources</t>
        </is>
      </c>
      <c r="C58" s="19" t="inlineStr">
        <is>
          <t>Blog</t>
        </is>
      </c>
      <c r="D58" s="19" t="inlineStr"/>
      <c r="E58" s="19" t="inlineStr">
        <is>
          <t>https://hytengineering.com/blog/</t>
        </is>
      </c>
    </row>
    <row r="59">
      <c r="A59" s="19" t="inlineStr">
        <is>
          <t>Media &amp; Resources</t>
        </is>
      </c>
      <c r="B59" s="19" t="inlineStr">
        <is>
          <t>Resources</t>
        </is>
      </c>
      <c r="C59" s="19" t="inlineStr">
        <is>
          <t>Knowledge Centre</t>
        </is>
      </c>
      <c r="D59" s="19" t="inlineStr"/>
      <c r="E59" s="19" t="inlineStr">
        <is>
          <t>https://hytengineering.com/knowledge-centre/</t>
        </is>
      </c>
    </row>
    <row r="60">
      <c r="A60" s="19" t="inlineStr">
        <is>
          <t>Media &amp; Resources</t>
        </is>
      </c>
      <c r="B60" s="19" t="inlineStr">
        <is>
          <t>Resources</t>
        </is>
      </c>
      <c r="C60" s="19" t="inlineStr">
        <is>
          <t>Downloads</t>
        </is>
      </c>
      <c r="D60" s="19" t="inlineStr"/>
      <c r="E60" s="19" t="inlineStr">
        <is>
          <t>https://hytengineering.com/downloads/</t>
        </is>
      </c>
    </row>
    <row r="61">
      <c r="A61" s="19" t="inlineStr">
        <is>
          <t>Work With Us</t>
        </is>
      </c>
      <c r="B61" s="19" t="inlineStr">
        <is>
          <t>—</t>
        </is>
      </c>
      <c r="C61" s="19" t="inlineStr">
        <is>
          <t>Careers</t>
        </is>
      </c>
      <c r="D61" s="19" t="inlineStr"/>
      <c r="E61" s="19" t="inlineStr">
        <is>
          <t>https://hytengineering.com/career/</t>
        </is>
      </c>
    </row>
    <row r="62">
      <c r="A62" s="19" t="inlineStr">
        <is>
          <t>Work With Us</t>
        </is>
      </c>
      <c r="B62" s="19" t="inlineStr">
        <is>
          <t>—</t>
        </is>
      </c>
      <c r="C62" s="19" t="inlineStr">
        <is>
          <t>Supplier Registration</t>
        </is>
      </c>
      <c r="D62" s="19" t="inlineStr"/>
      <c r="E62" s="19" t="inlineStr">
        <is>
          <t>https://hytengineering.com/supplier-registration/</t>
        </is>
      </c>
    </row>
    <row r="63">
      <c r="A63" s="19" t="inlineStr">
        <is>
          <t>Work With Us</t>
        </is>
      </c>
      <c r="B63" s="19" t="inlineStr">
        <is>
          <t>—</t>
        </is>
      </c>
      <c r="C63" s="19" t="inlineStr">
        <is>
          <t>Life at HYT</t>
        </is>
      </c>
      <c r="D63" s="19" t="inlineStr"/>
      <c r="E63" s="19" t="inlineStr">
        <is>
          <t>https://hytengineering.com/memorialization/</t>
        </is>
      </c>
    </row>
    <row r="64">
      <c r="A64" s="5" t="inlineStr">
        <is>
          <t>Contact Us (button)</t>
        </is>
      </c>
      <c r="B64" s="5" t="inlineStr">
        <is>
          <t>—</t>
        </is>
      </c>
      <c r="C64" s="5" t="inlineStr">
        <is>
          <t>Contact Us</t>
        </is>
      </c>
      <c r="D64" s="5" t="inlineStr"/>
      <c r="E64" s="5" t="inlineStr">
        <is>
          <t>https://hytengineering.com/contact-us/</t>
        </is>
      </c>
    </row>
    <row r="65">
      <c r="A65" s="2" t="n"/>
      <c r="B65" s="2" t="n"/>
      <c r="C65" s="2" t="n"/>
      <c r="D65" s="2" t="n"/>
      <c r="E65" s="2" t="n"/>
    </row>
    <row r="66">
      <c r="A66" s="7" t="inlineStr">
        <is>
          <t>Top bar quick links</t>
        </is>
      </c>
      <c r="B66" s="2" t="n"/>
      <c r="C66" s="2" t="n"/>
      <c r="D66" s="2" t="n"/>
      <c r="E66" s="2" t="n"/>
    </row>
    <row r="67">
      <c r="A67" s="20" t="inlineStr">
        <is>
          <t>Knowledge</t>
        </is>
      </c>
      <c r="B67" s="2" t="n"/>
      <c r="C67" s="20" t="inlineStr">
        <is>
          <t>Knowledge Centre</t>
        </is>
      </c>
      <c r="D67" s="2" t="n"/>
      <c r="E67" s="20" t="inlineStr">
        <is>
          <t>https://hytengineering.com/knowledge-centre/</t>
        </is>
      </c>
    </row>
    <row r="68">
      <c r="A68" s="20" t="inlineStr">
        <is>
          <t>Join our team</t>
        </is>
      </c>
      <c r="B68" s="2" t="n"/>
      <c r="C68" s="20" t="inlineStr">
        <is>
          <t>Careers</t>
        </is>
      </c>
      <c r="D68" s="2" t="n"/>
      <c r="E68" s="20" t="inlineStr">
        <is>
          <t>https://hytengineering.com/career/</t>
        </is>
      </c>
    </row>
    <row r="69">
      <c r="A69" s="20" t="inlineStr">
        <is>
          <t>Next Event (highlighted)</t>
        </is>
      </c>
      <c r="B69" s="2" t="n"/>
      <c r="C69" s="20" t="inlineStr">
        <is>
          <t>International Exhibitions</t>
        </is>
      </c>
      <c r="D69" s="2" t="n"/>
      <c r="E69" s="20" t="inlineStr">
        <is>
          <t>https://hytengineering.com/international-exhibitions/</t>
        </is>
      </c>
    </row>
    <row r="70">
      <c r="A70" s="20" t="inlineStr">
        <is>
          <t>Search (site search overlay)</t>
        </is>
      </c>
      <c r="B70" s="2" t="n"/>
      <c r="C70" s="20" t="inlineStr">
        <is>
          <t>Sitemap</t>
        </is>
      </c>
      <c r="D70" s="2" t="n"/>
      <c r="E70" s="20" t="inlineStr">
        <is>
          <t>https://hytengineering.com/sitemap/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56" customWidth="1" min="3" max="3"/>
  </cols>
  <sheetData>
    <row r="1" ht="30" customHeight="1">
      <c r="A1" s="12" t="inlineStr">
        <is>
          <t>Footer Column</t>
        </is>
      </c>
      <c r="B1" s="12" t="inlineStr">
        <is>
          <t>Link</t>
        </is>
      </c>
      <c r="C1" s="12" t="inlineStr">
        <is>
          <t>URL</t>
        </is>
      </c>
    </row>
    <row r="2">
      <c r="A2" s="5" t="inlineStr">
        <is>
          <t>Company</t>
        </is>
      </c>
      <c r="B2" s="5" t="inlineStr">
        <is>
          <t>About Us</t>
        </is>
      </c>
      <c r="C2" s="5" t="inlineStr">
        <is>
          <t>https://hytengineering.com/company/</t>
        </is>
      </c>
    </row>
    <row r="3">
      <c r="A3" s="5" t="inlineStr">
        <is>
          <t>Company</t>
        </is>
      </c>
      <c r="B3" s="5" t="inlineStr">
        <is>
          <t>Group Companies</t>
        </is>
      </c>
      <c r="C3" s="5" t="inlineStr">
        <is>
          <t>https://hytengineering.com/group-companies/</t>
        </is>
      </c>
    </row>
    <row r="4">
      <c r="A4" s="5" t="inlineStr">
        <is>
          <t>Company</t>
        </is>
      </c>
      <c r="B4" s="5" t="inlineStr">
        <is>
          <t>History</t>
        </is>
      </c>
      <c r="C4" s="5" t="inlineStr">
        <is>
          <t>https://hytengineering.com/history/</t>
        </is>
      </c>
    </row>
    <row r="5">
      <c r="A5" s="5" t="inlineStr">
        <is>
          <t>Company</t>
        </is>
      </c>
      <c r="B5" s="5" t="inlineStr">
        <is>
          <t>Quality</t>
        </is>
      </c>
      <c r="C5" s="5" t="inlineStr">
        <is>
          <t>https://hytengineering.com/quality/</t>
        </is>
      </c>
    </row>
    <row r="6">
      <c r="A6" s="5" t="inlineStr">
        <is>
          <t>Company</t>
        </is>
      </c>
      <c r="B6" s="5" t="inlineStr">
        <is>
          <t>Clientele</t>
        </is>
      </c>
      <c r="C6" s="5" t="inlineStr">
        <is>
          <t>https://hytengineering.com/clientele/</t>
        </is>
      </c>
    </row>
    <row r="7">
      <c r="A7" s="5" t="inlineStr">
        <is>
          <t>Company</t>
        </is>
      </c>
      <c r="B7" s="5" t="inlineStr">
        <is>
          <t>CSR</t>
        </is>
      </c>
      <c r="C7" s="5" t="inlineStr">
        <is>
          <t>https://hytengineering.com/csr/</t>
        </is>
      </c>
    </row>
    <row r="8">
      <c r="A8" s="5" t="inlineStr">
        <is>
          <t>Company</t>
        </is>
      </c>
      <c r="B8" s="5" t="inlineStr">
        <is>
          <t>Compliance</t>
        </is>
      </c>
      <c r="C8" s="5" t="inlineStr">
        <is>
          <t>https://hytengineering.com/compliance/</t>
        </is>
      </c>
    </row>
    <row r="9">
      <c r="A9" s="5" t="inlineStr">
        <is>
          <t>Products &amp; Projects</t>
        </is>
      </c>
      <c r="B9" s="5" t="inlineStr">
        <is>
          <t>Products</t>
        </is>
      </c>
      <c r="C9" s="5" t="inlineStr">
        <is>
          <t>https://hytengineering.com/products/</t>
        </is>
      </c>
    </row>
    <row r="10">
      <c r="A10" s="5" t="inlineStr">
        <is>
          <t>Products &amp; Projects</t>
        </is>
      </c>
      <c r="B10" s="5" t="inlineStr">
        <is>
          <t>CNC Surface Wheel Lathe</t>
        </is>
      </c>
      <c r="C10" s="5" t="inlineStr">
        <is>
          <t>https://hytengineering.com/surface-wheel-lathe/</t>
        </is>
      </c>
    </row>
    <row r="11">
      <c r="A11" s="5" t="inlineStr">
        <is>
          <t>Products &amp; Projects</t>
        </is>
      </c>
      <c r="B11" s="5" t="inlineStr">
        <is>
          <t>CNC Underfloor Wheel Lathe (YUL-08)</t>
        </is>
      </c>
      <c r="C11" s="5" t="inlineStr">
        <is>
          <t>https://hytengineering.com/underfloor-wheel-lathe/</t>
        </is>
      </c>
    </row>
    <row r="12">
      <c r="A12" s="5" t="inlineStr">
        <is>
          <t>Products &amp; Projects</t>
        </is>
      </c>
      <c r="B12" s="5" t="inlineStr">
        <is>
          <t>CNC Tandem Underfloor Wheel Lathe (YUL-12T)</t>
        </is>
      </c>
      <c r="C12" s="5" t="inlineStr">
        <is>
          <t>https://hytengineering.com/tandem-underfloor-wheel-lathe/</t>
        </is>
      </c>
    </row>
    <row r="13">
      <c r="A13" s="5" t="inlineStr">
        <is>
          <t>Products &amp; Projects</t>
        </is>
      </c>
      <c r="B13" s="5" t="inlineStr">
        <is>
          <t>CNC Portal Wheel Lathe</t>
        </is>
      </c>
      <c r="C13" s="5" t="inlineStr">
        <is>
          <t>https://hytengineering.com/portal-wheel-lathe/</t>
        </is>
      </c>
    </row>
    <row r="14">
      <c r="A14" s="5" t="inlineStr">
        <is>
          <t>Products &amp; Projects</t>
        </is>
      </c>
      <c r="B14" s="5" t="inlineStr">
        <is>
          <t>CNC Vertical Turning &amp; Boring Machine</t>
        </is>
      </c>
      <c r="C14" s="5" t="inlineStr">
        <is>
          <t>https://hytengineering.com/vertical-turning-boring-machine/</t>
        </is>
      </c>
    </row>
    <row r="15">
      <c r="A15" s="5" t="inlineStr">
        <is>
          <t>Products &amp; Projects</t>
        </is>
      </c>
      <c r="B15" s="5" t="inlineStr">
        <is>
          <t>Turnkey Projects</t>
        </is>
      </c>
      <c r="C15" s="5" t="inlineStr">
        <is>
          <t>https://hytengineering.com/turnkey-project/</t>
        </is>
      </c>
    </row>
    <row r="16">
      <c r="A16" s="5" t="inlineStr">
        <is>
          <t>Services</t>
        </is>
      </c>
      <c r="B16" s="5" t="inlineStr">
        <is>
          <t>Services</t>
        </is>
      </c>
      <c r="C16" s="5" t="inlineStr">
        <is>
          <t>https://hytengineering.com/services/</t>
        </is>
      </c>
    </row>
    <row r="17">
      <c r="A17" s="5" t="inlineStr">
        <is>
          <t>Services</t>
        </is>
      </c>
      <c r="B17" s="5" t="inlineStr">
        <is>
          <t>Installation &amp; Commissioning</t>
        </is>
      </c>
      <c r="C17" s="5" t="inlineStr">
        <is>
          <t>https://hytengineering.com/installation-commissioning/</t>
        </is>
      </c>
    </row>
    <row r="18">
      <c r="A18" s="5" t="inlineStr">
        <is>
          <t>Services</t>
        </is>
      </c>
      <c r="B18" s="5" t="inlineStr">
        <is>
          <t>Annual Maintenance Contract (AMC)</t>
        </is>
      </c>
      <c r="C18" s="5" t="inlineStr">
        <is>
          <t>https://hytengineering.com/annual-maintenance-contract/</t>
        </is>
      </c>
    </row>
    <row r="19">
      <c r="A19" s="5" t="inlineStr">
        <is>
          <t>Services</t>
        </is>
      </c>
      <c r="B19" s="5" t="inlineStr">
        <is>
          <t>Spare Parts &amp; Support</t>
        </is>
      </c>
      <c r="C19" s="5" t="inlineStr">
        <is>
          <t>https://hytengineering.com/spare-supply/</t>
        </is>
      </c>
    </row>
    <row r="20">
      <c r="A20" s="5" t="inlineStr">
        <is>
          <t>Services</t>
        </is>
      </c>
      <c r="B20" s="5" t="inlineStr">
        <is>
          <t>Retro-fitment &amp; Upgradation</t>
        </is>
      </c>
      <c r="C20" s="5" t="inlineStr">
        <is>
          <t>https://hytengineering.com/retro-fitment-upgradation/</t>
        </is>
      </c>
    </row>
    <row r="21">
      <c r="A21" s="5" t="inlineStr">
        <is>
          <t>Services</t>
        </is>
      </c>
      <c r="B21" s="5" t="inlineStr">
        <is>
          <t>MAAS – Machine as a Service (Wet Leasing)</t>
        </is>
      </c>
      <c r="C21" s="5" t="inlineStr">
        <is>
          <t>https://hytengineering.com/wet-leasing/</t>
        </is>
      </c>
    </row>
    <row r="22">
      <c r="A22" s="5" t="inlineStr">
        <is>
          <t>Services</t>
        </is>
      </c>
      <c r="B22" s="5" t="inlineStr">
        <is>
          <t>Training</t>
        </is>
      </c>
      <c r="C22" s="5" t="inlineStr">
        <is>
          <t>https://hytengineering.com/training/</t>
        </is>
      </c>
    </row>
    <row r="23">
      <c r="A23" s="5" t="inlineStr">
        <is>
          <t>Services</t>
        </is>
      </c>
      <c r="B23" s="5" t="inlineStr">
        <is>
          <t>After-Sales Service Network</t>
        </is>
      </c>
      <c r="C23" s="5" t="inlineStr">
        <is>
          <t>https://hytengineering.com/service-centers/</t>
        </is>
      </c>
    </row>
    <row r="24">
      <c r="A24" s="5" t="inlineStr">
        <is>
          <t>Resources</t>
        </is>
      </c>
      <c r="B24" s="5" t="inlineStr">
        <is>
          <t>Industries</t>
        </is>
      </c>
      <c r="C24" s="5" t="inlineStr">
        <is>
          <t>https://hytengineering.com/industries/</t>
        </is>
      </c>
    </row>
    <row r="25">
      <c r="A25" s="5" t="inlineStr">
        <is>
          <t>Resources</t>
        </is>
      </c>
      <c r="B25" s="5" t="inlineStr">
        <is>
          <t>Latest News</t>
        </is>
      </c>
      <c r="C25" s="5" t="inlineStr">
        <is>
          <t>https://hytengineering.com/news/</t>
        </is>
      </c>
    </row>
    <row r="26">
      <c r="A26" s="5" t="inlineStr">
        <is>
          <t>Resources</t>
        </is>
      </c>
      <c r="B26" s="5" t="inlineStr">
        <is>
          <t>Blog</t>
        </is>
      </c>
      <c r="C26" s="5" t="inlineStr">
        <is>
          <t>https://hytengineering.com/blog/</t>
        </is>
      </c>
    </row>
    <row r="27">
      <c r="A27" s="5" t="inlineStr">
        <is>
          <t>Resources</t>
        </is>
      </c>
      <c r="B27" s="5" t="inlineStr">
        <is>
          <t>Knowledge Centre</t>
        </is>
      </c>
      <c r="C27" s="5" t="inlineStr">
        <is>
          <t>https://hytengineering.com/knowledge-centre/</t>
        </is>
      </c>
    </row>
    <row r="28">
      <c r="A28" s="5" t="inlineStr">
        <is>
          <t>Resources</t>
        </is>
      </c>
      <c r="B28" s="5" t="inlineStr">
        <is>
          <t>Downloads</t>
        </is>
      </c>
      <c r="C28" s="5" t="inlineStr">
        <is>
          <t>https://hytengineering.com/downloads/</t>
        </is>
      </c>
    </row>
    <row r="29">
      <c r="A29" s="5" t="inlineStr">
        <is>
          <t>Resources</t>
        </is>
      </c>
      <c r="B29" s="5" t="inlineStr">
        <is>
          <t>Careers</t>
        </is>
      </c>
      <c r="C29" s="5" t="inlineStr">
        <is>
          <t>https://hytengineering.com/career/</t>
        </is>
      </c>
    </row>
    <row r="30">
      <c r="A30" s="5" t="inlineStr">
        <is>
          <t>Resources</t>
        </is>
      </c>
      <c r="B30" s="5" t="inlineStr">
        <is>
          <t>Supplier Registration</t>
        </is>
      </c>
      <c r="C30" s="5" t="inlineStr">
        <is>
          <t>https://hytengineering.com/supplier-registration/</t>
        </is>
      </c>
    </row>
    <row r="31">
      <c r="A31" s="5" t="inlineStr">
        <is>
          <t>Resources</t>
        </is>
      </c>
      <c r="B31" s="5" t="inlineStr">
        <is>
          <t>Contact Us</t>
        </is>
      </c>
      <c r="C31" s="5" t="inlineStr">
        <is>
          <t>https://hytengineering.com/contact-us/</t>
        </is>
      </c>
    </row>
    <row r="32">
      <c r="A32" s="5" t="inlineStr">
        <is>
          <t>Bottom strip – Legal</t>
        </is>
      </c>
      <c r="B32" s="5" t="inlineStr">
        <is>
          <t>Privacy Policy</t>
        </is>
      </c>
      <c r="C32" s="5" t="inlineStr">
        <is>
          <t>https://hytengineering.com/privacy-policy/</t>
        </is>
      </c>
    </row>
    <row r="33">
      <c r="A33" s="5" t="inlineStr">
        <is>
          <t>Bottom strip – Legal</t>
        </is>
      </c>
      <c r="B33" s="5" t="inlineStr">
        <is>
          <t>Cookie Policy</t>
        </is>
      </c>
      <c r="C33" s="5" t="inlineStr">
        <is>
          <t>https://hytengineering.com/cookie-policy/</t>
        </is>
      </c>
    </row>
    <row r="34">
      <c r="A34" s="5" t="inlineStr">
        <is>
          <t>Bottom strip – Legal</t>
        </is>
      </c>
      <c r="B34" s="5" t="inlineStr">
        <is>
          <t>Disclaimer</t>
        </is>
      </c>
      <c r="C34" s="5" t="inlineStr">
        <is>
          <t>https://hytengineering.com/disclaimer/</t>
        </is>
      </c>
    </row>
    <row r="35">
      <c r="A35" s="5" t="inlineStr">
        <is>
          <t>Bottom strip – Legal</t>
        </is>
      </c>
      <c r="B35" s="5" t="inlineStr">
        <is>
          <t>Sitemap</t>
        </is>
      </c>
      <c r="C35" s="5" t="inlineStr">
        <is>
          <t>https://hytengineering.com/sitemap/</t>
        </is>
      </c>
    </row>
    <row r="36">
      <c r="A36" s="20" t="inlineStr">
        <is>
          <t>Social media</t>
        </is>
      </c>
      <c r="B36" s="20" t="inlineStr">
        <is>
          <t>LinkedIn</t>
        </is>
      </c>
      <c r="C36" s="20" t="inlineStr">
        <is>
          <t>https://www.linkedin.com/company/hyt-engineering-company-private-limited/</t>
        </is>
      </c>
    </row>
    <row r="37">
      <c r="A37" s="20" t="inlineStr">
        <is>
          <t>Social media</t>
        </is>
      </c>
      <c r="B37" s="20" t="inlineStr">
        <is>
          <t>YouTube</t>
        </is>
      </c>
      <c r="C37" s="20" t="inlineStr">
        <is>
          <t>https://www.youtube.com/@HYTEngineeringCompanyPvtLtd/videos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1" customWidth="1" min="3" max="3"/>
    <col width="52" customWidth="1" min="4" max="4"/>
    <col width="15" customWidth="1" min="5" max="5"/>
    <col width="40" customWidth="1" min="6" max="6"/>
  </cols>
  <sheetData>
    <row r="1" ht="30" customHeight="1">
      <c r="A1" s="12" t="inlineStr">
        <is>
          <t>Language / Region</t>
        </is>
      </c>
      <c r="B1" s="12" t="inlineStr">
        <is>
          <t>URL Folder</t>
        </is>
      </c>
      <c r="C1" s="12" t="inlineStr">
        <is>
          <t>hreflang</t>
        </is>
      </c>
      <c r="D1" s="12" t="inlineStr">
        <is>
          <t>Example URL</t>
        </is>
      </c>
      <c r="E1" s="12" t="inlineStr">
        <is>
          <t>Pages (formula)</t>
        </is>
      </c>
      <c r="F1" s="12" t="inlineStr">
        <is>
          <t>Translation</t>
        </is>
      </c>
    </row>
    <row r="2">
      <c r="A2" s="5" t="inlineStr">
        <is>
          <t>English (Global) – default</t>
        </is>
      </c>
      <c r="B2" s="5" t="inlineStr">
        <is>
          <t>/</t>
        </is>
      </c>
      <c r="C2" s="5" t="inlineStr">
        <is>
          <t>en</t>
        </is>
      </c>
      <c r="D2" s="5" t="inlineStr">
        <is>
          <t>https://hytengineering.com/products/</t>
        </is>
      </c>
      <c r="E2" s="5">
        <f>COUNTA('Page List'!A2:A79)</f>
        <v/>
      </c>
      <c r="F2" s="5" t="inlineStr">
        <is>
          <t>Master copy, British spelling</t>
        </is>
      </c>
    </row>
    <row r="3">
      <c r="A3" s="5" t="inlineStr">
        <is>
          <t>German (Germany)</t>
        </is>
      </c>
      <c r="B3" s="5" t="inlineStr">
        <is>
          <t>/de-de/</t>
        </is>
      </c>
      <c r="C3" s="5" t="inlineStr">
        <is>
          <t>de-DE</t>
        </is>
      </c>
      <c r="D3" s="5" t="inlineStr">
        <is>
          <t>https://hytengineering.com/de-de/products/</t>
        </is>
      </c>
      <c r="E3" s="5">
        <f>COUNTA('Page List'!A2:A79)</f>
        <v/>
      </c>
      <c r="F3" s="5" t="inlineStr">
        <is>
          <t>Translated – native review pending</t>
        </is>
      </c>
    </row>
    <row r="4">
      <c r="A4" s="5" t="inlineStr">
        <is>
          <t>French (France)</t>
        </is>
      </c>
      <c r="B4" s="5" t="inlineStr">
        <is>
          <t>/fr-fr/</t>
        </is>
      </c>
      <c r="C4" s="5" t="inlineStr">
        <is>
          <t>fr-FR</t>
        </is>
      </c>
      <c r="D4" s="5" t="inlineStr">
        <is>
          <t>https://hytengineering.com/fr-fr/products/</t>
        </is>
      </c>
      <c r="E4" s="5">
        <f>COUNTA('Page List'!A2:A79)</f>
        <v/>
      </c>
      <c r="F4" s="5" t="inlineStr">
        <is>
          <t>Translated – native review pending</t>
        </is>
      </c>
    </row>
    <row r="5">
      <c r="A5" s="5" t="inlineStr">
        <is>
          <t>Italian (Italy)</t>
        </is>
      </c>
      <c r="B5" s="5" t="inlineStr">
        <is>
          <t>/it-it/</t>
        </is>
      </c>
      <c r="C5" s="5" t="inlineStr">
        <is>
          <t>it-IT</t>
        </is>
      </c>
      <c r="D5" s="5" t="inlineStr">
        <is>
          <t>https://hytengineering.com/it-it/products/</t>
        </is>
      </c>
      <c r="E5" s="5">
        <f>COUNTA('Page List'!A2:A79)</f>
        <v/>
      </c>
      <c r="F5" s="5" t="inlineStr">
        <is>
          <t>Translated – native review pending</t>
        </is>
      </c>
    </row>
    <row r="6">
      <c r="A6" s="5" t="inlineStr">
        <is>
          <t>Dutch (Netherlands)</t>
        </is>
      </c>
      <c r="B6" s="5" t="inlineStr">
        <is>
          <t>/nl-nl/</t>
        </is>
      </c>
      <c r="C6" s="5" t="inlineStr">
        <is>
          <t>nl-NL</t>
        </is>
      </c>
      <c r="D6" s="5" t="inlineStr">
        <is>
          <t>https://hytengineering.com/nl-nl/products/</t>
        </is>
      </c>
      <c r="E6" s="5">
        <f>COUNTA('Page List'!A2:A79)</f>
        <v/>
      </c>
      <c r="F6" s="5" t="inlineStr">
        <is>
          <t>Translated – native review pending</t>
        </is>
      </c>
    </row>
    <row r="7">
      <c r="A7" s="5" t="inlineStr">
        <is>
          <t>English (North America)</t>
        </is>
      </c>
      <c r="B7" s="5" t="inlineStr">
        <is>
          <t>/en-us/</t>
        </is>
      </c>
      <c r="C7" s="5" t="inlineStr">
        <is>
          <t>en-US</t>
        </is>
      </c>
      <c r="D7" s="5" t="inlineStr">
        <is>
          <t>https://hytengineering.com/en-us/products/</t>
        </is>
      </c>
      <c r="E7" s="5">
        <f>COUNTA('Page List'!A2:A79)</f>
        <v/>
      </c>
      <c r="F7" s="5" t="inlineStr">
        <is>
          <t>Derived from English, American spelling</t>
        </is>
      </c>
    </row>
    <row r="8">
      <c r="A8" s="7" t="inlineStr">
        <is>
          <t>Total HTML pages</t>
        </is>
      </c>
      <c r="B8" s="2" t="n"/>
      <c r="C8" s="2" t="n"/>
      <c r="D8" s="2" t="n"/>
      <c r="E8" s="7">
        <f>SUM(E2:E7)</f>
        <v/>
      </c>
      <c r="F8" s="2" t="n"/>
    </row>
    <row r="9">
      <c r="A9" s="2" t="n"/>
      <c r="B9" s="2" t="n"/>
      <c r="C9" s="2" t="n"/>
      <c r="D9" s="2" t="n"/>
      <c r="E9" s="2" t="n"/>
      <c r="F9" s="2" t="n"/>
    </row>
    <row r="10">
      <c r="A10" s="3" t="inlineStr">
        <is>
          <t>x-default hreflang points to the English (Global) version. URL slugs are identical in every language.</t>
        </is>
      </c>
      <c r="B10" s="2" t="n"/>
      <c r="C10" s="2" t="n"/>
      <c r="D10" s="2" t="n"/>
      <c r="E10" s="2" t="n"/>
      <c r="F10" s="2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6" customWidth="1" min="2" max="2"/>
    <col width="56" customWidth="1" min="3" max="3"/>
    <col width="46" customWidth="1" min="4" max="4"/>
  </cols>
  <sheetData>
    <row r="1" ht="30" customHeight="1">
      <c r="A1" s="12" t="inlineStr">
        <is>
          <t>#</t>
        </is>
      </c>
      <c r="B1" s="12" t="inlineStr">
        <is>
          <t>Old URL</t>
        </is>
      </c>
      <c r="C1" s="12" t="inlineStr">
        <is>
          <t>New URL</t>
        </is>
      </c>
      <c r="D1" s="12" t="inlineStr">
        <is>
          <t>Reason</t>
        </is>
      </c>
    </row>
    <row r="2">
      <c r="A2" s="5" t="n">
        <v>1</v>
      </c>
      <c r="B2" s="5" t="inlineStr">
        <is>
          <t>https://hytengineering.com/cnc-surface-wheel-lathe/</t>
        </is>
      </c>
      <c r="C2" s="5" t="inlineStr">
        <is>
          <t>https://hytengineering.com/surface-wheel-lathe/</t>
        </is>
      </c>
      <c r="D2" s="5" t="inlineStr">
        <is>
          <t>Workbook Redirects tab (old URL)</t>
        </is>
      </c>
    </row>
    <row r="3">
      <c r="A3" s="5" t="n">
        <v>2</v>
      </c>
      <c r="B3" s="5" t="inlineStr">
        <is>
          <t>https://hytengineering.com/cnc-underfloor-wheel-lathe/</t>
        </is>
      </c>
      <c r="C3" s="5" t="inlineStr">
        <is>
          <t>https://hytengineering.com/underfloor-wheel-lathe/</t>
        </is>
      </c>
      <c r="D3" s="5" t="inlineStr">
        <is>
          <t>Workbook Redirects tab (old URL)</t>
        </is>
      </c>
    </row>
    <row r="4">
      <c r="A4" s="5" t="n">
        <v>3</v>
      </c>
      <c r="B4" s="5" t="inlineStr">
        <is>
          <t>https://hytengineering.com/cnc-tandem-underfloor-wheel-lathe/</t>
        </is>
      </c>
      <c r="C4" s="5" t="inlineStr">
        <is>
          <t>https://hytengineering.com/tandem-underfloor-wheel-lathe/</t>
        </is>
      </c>
      <c r="D4" s="5" t="inlineStr">
        <is>
          <t>Workbook Redirects tab (old URL)</t>
        </is>
      </c>
    </row>
    <row r="5">
      <c r="A5" s="5" t="n">
        <v>4</v>
      </c>
      <c r="B5" s="5" t="inlineStr">
        <is>
          <t>https://hytengineering.com/cnc-portal-wheel-lathe/</t>
        </is>
      </c>
      <c r="C5" s="5" t="inlineStr">
        <is>
          <t>https://hytengineering.com/portal-wheel-lathe/</t>
        </is>
      </c>
      <c r="D5" s="5" t="inlineStr">
        <is>
          <t>Workbook Redirects tab (old URL)</t>
        </is>
      </c>
    </row>
    <row r="6">
      <c r="A6" s="5" t="n">
        <v>5</v>
      </c>
      <c r="B6" s="5" t="inlineStr">
        <is>
          <t>https://hytengineering.com/cnc-vertical-turning-boring-machine/</t>
        </is>
      </c>
      <c r="C6" s="5" t="inlineStr">
        <is>
          <t>https://hytengineering.com/vertical-turning-boring-machine/</t>
        </is>
      </c>
      <c r="D6" s="5" t="inlineStr">
        <is>
          <t>Workbook Redirects tab (old URL)</t>
        </is>
      </c>
    </row>
    <row r="7">
      <c r="A7" s="5" t="n">
        <v>6</v>
      </c>
      <c r="B7" s="5" t="inlineStr">
        <is>
          <t>https://hytengineering.com/cnc-axle-journal-turning-burnishing-lathe/</t>
        </is>
      </c>
      <c r="C7" s="5" t="inlineStr">
        <is>
          <t>https://hytengineering.com/axle-journal-turning-burnishing-lathe/</t>
        </is>
      </c>
      <c r="D7" s="5" t="inlineStr">
        <is>
          <t>Workbook Redirects tab (old URL)</t>
        </is>
      </c>
    </row>
    <row r="8">
      <c r="A8" s="5" t="n">
        <v>7</v>
      </c>
      <c r="B8" s="5" t="inlineStr">
        <is>
          <t>https://hytengineering.com/multipurpose-armature-machine/</t>
        </is>
      </c>
      <c r="C8" s="5" t="inlineStr">
        <is>
          <t>https://hytengineering.com/multi-purpose-armature-machine/</t>
        </is>
      </c>
      <c r="D8" s="5" t="inlineStr">
        <is>
          <t>Workbook Redirects tab (old URL)</t>
        </is>
      </c>
    </row>
    <row r="9">
      <c r="A9" s="5" t="n">
        <v>8</v>
      </c>
      <c r="B9" s="5" t="inlineStr">
        <is>
          <t>https://hytengineering.com/wheel-press/</t>
        </is>
      </c>
      <c r="C9" s="5" t="inlineStr">
        <is>
          <t>https://hytengineering.com/wheel-presses/</t>
        </is>
      </c>
      <c r="D9" s="5" t="inlineStr">
        <is>
          <t>Workbook Redirects tab (old URL)</t>
        </is>
      </c>
    </row>
    <row r="10">
      <c r="A10" s="5" t="n">
        <v>9</v>
      </c>
      <c r="B10" s="5" t="inlineStr">
        <is>
          <t>https://hytengineering.com/epc-project/</t>
        </is>
      </c>
      <c r="C10" s="5" t="inlineStr">
        <is>
          <t>https://hytengineering.com/turnkey-project/</t>
        </is>
      </c>
      <c r="D10" s="5" t="inlineStr">
        <is>
          <t>Workbook Redirects tab (old URL)</t>
        </is>
      </c>
    </row>
    <row r="11">
      <c r="A11" s="5" t="n">
        <v>10</v>
      </c>
      <c r="B11" s="5" t="inlineStr">
        <is>
          <t>https://hytengineering.com/maintainance/</t>
        </is>
      </c>
      <c r="C11" s="5" t="inlineStr">
        <is>
          <t>https://hytengineering.com/maintenance/</t>
        </is>
      </c>
      <c r="D11" s="5" t="inlineStr">
        <is>
          <t>Workbook Redirects tab (old URL)</t>
        </is>
      </c>
    </row>
    <row r="12">
      <c r="A12" s="5" t="n">
        <v>11</v>
      </c>
      <c r="B12" s="5" t="inlineStr">
        <is>
          <t>https://hytengineering.com/installation-and-commissioning/</t>
        </is>
      </c>
      <c r="C12" s="5" t="inlineStr">
        <is>
          <t>https://hytengineering.com/installation-commissioning/</t>
        </is>
      </c>
      <c r="D12" s="5" t="inlineStr">
        <is>
          <t>Old duplicate page</t>
        </is>
      </c>
    </row>
    <row r="13">
      <c r="A13" s="5" t="n">
        <v>12</v>
      </c>
      <c r="B13" s="5" t="inlineStr">
        <is>
          <t>https://hytengineering.com/wheel-shop-automation/</t>
        </is>
      </c>
      <c r="C13" s="5" t="inlineStr">
        <is>
          <t>https://hytengineering.com/turnkey-project/wheel-shops/</t>
        </is>
      </c>
      <c r="D13" s="5" t="inlineStr">
        <is>
          <t>Merged into Wheel Shops at HYT's request</t>
        </is>
      </c>
    </row>
    <row r="14">
      <c r="A14" s="2" t="n"/>
      <c r="B14" s="2" t="n"/>
      <c r="C14" s="2" t="n"/>
      <c r="D14" s="2" t="n"/>
    </row>
    <row r="15">
      <c r="A15" s="3" t="inlineStr">
        <is>
          <t>Each redirect also applies inside every language folder (e.g. /de-de/epc-project/ → /de-de/turnkey-project/). Must be server-side 301s (.htaccess, Netlify _redirects or nginx – files provided).</t>
        </is>
      </c>
      <c r="B15" s="2" t="n"/>
      <c r="C15" s="2" t="n"/>
      <c r="D15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2026-10-19T10:06:45Z</dcterms:created>
  <dcterms:modified xmlns:dcterms="http://purl.org/dc/terms/" xmlns:xsi="http://www.w3.org/2001/XMLSchema-instance" xsi:type="dcterms:W3CDTF">2026-10-19T10:06:45Z</dcterms:modified>
</cp:coreProperties>
</file>