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ge List" sheetId="2" state="visible" r:id="rId4"/>
    <sheet name="Menu Structure" sheetId="3" state="visible" r:id="rId5"/>
    <sheet name="Footer Links" sheetId="4" state="visible" r:id="rId6"/>
    <sheet name="Languages" sheetId="5" state="visible" r:id="rId7"/>
    <sheet name="301 Redirects" sheetId="6" state="visible" r:id="rId8"/>
  </sheets>
  <definedNames>
    <definedName function="false" hidden="true" localSheetId="1" name="_xlnm._FilterDatabase" vbProcedure="false">'Page List'!$A$1:$O$79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<sst xmlns="http://schemas.openxmlformats.org/spreadsheetml/2006/main" count="1501" uniqueCount="515">
  <si>
    <t xml:space="preserve">HYT Engineering Company Pvt. Ltd. – Website Page List</t>
  </si>
  <si>
    <t xml:space="preserve">Prepared for vendor scoping. Generated from the website build (src/registry.py + English content).</t>
  </si>
  <si>
    <t xml:space="preserve">Item</t>
  </si>
  <si>
    <t xml:space="preserve">Count</t>
  </si>
  <si>
    <t xml:space="preserve">Note</t>
  </si>
  <si>
    <t xml:space="preserve">Unique pages (per language)</t>
  </si>
  <si>
    <t xml:space="preserve">One row per page in "Page List"</t>
  </si>
  <si>
    <t xml:space="preserve">Language versions</t>
  </si>
  <si>
    <t xml:space="preserve">See "Languages"</t>
  </si>
  <si>
    <t xml:space="preserve">Total HTML pages to build</t>
  </si>
  <si>
    <t xml:space="preserve">Unique pages × languages</t>
  </si>
  <si>
    <t xml:space="preserve">Level 1 – Main pages</t>
  </si>
  <si>
    <t xml:space="preserve">Level 2 – Sub pages</t>
  </si>
  <si>
    <t xml:space="preserve">Level 3 – Sub-sub pages</t>
  </si>
  <si>
    <t xml:space="preserve">Product pages (shared product template)</t>
  </si>
  <si>
    <t xml:space="preserve">Specs table, video, gated catalogue, sub-navigation</t>
  </si>
  <si>
    <t xml:space="preserve">Content pages</t>
  </si>
  <si>
    <t xml:space="preserve">Legal pages</t>
  </si>
  <si>
    <t xml:space="preserve">Utility pages (thank-you, sitemap, 404 etc.)</t>
  </si>
  <si>
    <t xml:space="preserve">Pages with forms</t>
  </si>
  <si>
    <t xml:space="preserve">Enquiry, career, supplier, catalogue</t>
  </si>
  <si>
    <t xml:space="preserve">Pages with content pending HYT approval</t>
  </si>
  <si>
    <t xml:space="preserve">Yellow review note on the preview site</t>
  </si>
  <si>
    <t xml:space="preserve">301 redirects (root + every language folder)</t>
  </si>
  <si>
    <t xml:space="preserve">See "301 Redirects"</t>
  </si>
  <si>
    <t xml:space="preserve">Legend (Page List)</t>
  </si>
  <si>
    <t xml:space="preserve">Level 0 – Home</t>
  </si>
  <si>
    <t xml:space="preserve">Level 1 – Main page</t>
  </si>
  <si>
    <t xml:space="preserve">Level 2 – Sub page</t>
  </si>
  <si>
    <t xml:space="preserve">Level 3 – Sub-sub page</t>
  </si>
  <si>
    <t xml:space="preserve">Column "Vendor Remarks" in Page List is for the vendor to fill in (questions, estimates, comments).</t>
  </si>
  <si>
    <t xml:space="preserve">Global features: mega menu, site search, language switcher, sets no cookies, responsive, WCAG 2.1 AA, Lenis smooth scroll, animations (reduced-motion safe).</t>
  </si>
  <si>
    <t xml:space="preserve">Sr. No.</t>
  </si>
  <si>
    <t xml:space="preserve">Level</t>
  </si>
  <si>
    <t xml:space="preserve">Main Menu Section</t>
  </si>
  <si>
    <t xml:space="preserve">Parent Page</t>
  </si>
  <si>
    <t xml:space="preserve">Page Name (hierarchy)</t>
  </si>
  <si>
    <t xml:space="preserve">URL (English – Global)</t>
  </si>
  <si>
    <t xml:space="preserve">Page Type</t>
  </si>
  <si>
    <t xml:space="preserve">Main Heading (H1)</t>
  </si>
  <si>
    <t xml:space="preserve">Key Sections on Page</t>
  </si>
  <si>
    <t xml:space="preserve">Special Features / Functionality</t>
  </si>
  <si>
    <t xml:space="preserve">In Main Menu</t>
  </si>
  <si>
    <t xml:space="preserve">In Footer</t>
  </si>
  <si>
    <t xml:space="preserve">In XML Sitemap</t>
  </si>
  <si>
    <t xml:space="preserve">Content Pending HYT Approval</t>
  </si>
  <si>
    <t xml:space="preserve">Vendor Remarks</t>
  </si>
  <si>
    <t xml:space="preserve">Home</t>
  </si>
  <si>
    <t xml:space="preserve">—</t>
  </si>
  <si>
    <t xml:space="preserve">https://hytengineering.com/</t>
  </si>
  <si>
    <t xml:space="preserve">Home page</t>
  </si>
  <si>
    <t xml:space="preserve">Solutions for Rolling Stock Production &amp; Maintenance</t>
  </si>
  <si>
    <t xml:space="preserve">Precision that keeps fleets moving | Machines for every stage of the wheelset's life | CNC underfloor wheel lathes | Vertical turning lathes and axle machining | One partner from empty shed to running workshop | Built for the people who keep rolling stock safe | Support that lasts as long as the machine | Installed where reliability matters | Engineering you can measure | Latest from HYT</t>
  </si>
  <si>
    <t xml:space="preserve">Animated counters, Customer logo carousel, News cards</t>
  </si>
  <si>
    <t xml:space="preserve">No</t>
  </si>
  <si>
    <t xml:space="preserve">Yes</t>
  </si>
  <si>
    <t xml:space="preserve">About Us</t>
  </si>
  <si>
    <t xml:space="preserve">https://hytengineering.com/company/</t>
  </si>
  <si>
    <t xml:space="preserve">Content page</t>
  </si>
  <si>
    <t xml:space="preserve">About HYT Engineering</t>
  </si>
  <si>
    <t xml:space="preserve">From workshop lathes to railway wheel technology | Machines and services for the whole wheelset life cycle | Design, build, install, support – under one roof | What guides our decisions | Trusted by railways and metros | More about HYT</t>
  </si>
  <si>
    <t xml:space="preserve">Animated counters</t>
  </si>
  <si>
    <t xml:space="preserve">    Group Companies</t>
  </si>
  <si>
    <t xml:space="preserve">https://hytengineering.com/group-companies/</t>
  </si>
  <si>
    <t xml:space="preserve">HYT Group Companies</t>
  </si>
  <si>
    <t xml:space="preserve">Why the group structure matters to customers | What customers can expect</t>
  </si>
  <si>
    <t xml:space="preserve">    History</t>
  </si>
  <si>
    <t xml:space="preserve">https://hytengineering.com/history/</t>
  </si>
  <si>
    <t xml:space="preserve">Our History</t>
  </si>
  <si>
    <t xml:space="preserve">Milestones | A machine builder at heart</t>
  </si>
  <si>
    <t xml:space="preserve">Timeline</t>
  </si>
  <si>
    <t xml:space="preserve">    Quality</t>
  </si>
  <si>
    <t xml:space="preserve">https://hytengineering.com/quality/</t>
  </si>
  <si>
    <t xml:space="preserve">Quality at HYT</t>
  </si>
  <si>
    <t xml:space="preserve">Quality you can measure on the wheel | Six checkpoints between order and handover | How we keep improving | Related pages</t>
  </si>
  <si>
    <t xml:space="preserve">Quality</t>
  </si>
  <si>
    <t xml:space="preserve">        Certifications</t>
  </si>
  <si>
    <t xml:space="preserve">https://hytengineering.com/certifications/</t>
  </si>
  <si>
    <t xml:space="preserve">Certifications</t>
  </si>
  <si>
    <t xml:space="preserve">Three standards, one way of working | Using our certificates in your supplier approval</t>
  </si>
  <si>
    <t xml:space="preserve">    Awards</t>
  </si>
  <si>
    <t xml:space="preserve">https://hytengineering.com/awards/</t>
  </si>
  <si>
    <t xml:space="preserve">Awards and Recognition</t>
  </si>
  <si>
    <t xml:space="preserve">Independent recognition | Recognition earned in the workshop</t>
  </si>
  <si>
    <t xml:space="preserve">    Clientele</t>
  </si>
  <si>
    <t xml:space="preserve">https://hytengineering.com/clientele/</t>
  </si>
  <si>
    <t xml:space="preserve">Our Clientele</t>
  </si>
  <si>
    <t xml:space="preserve">Selected customers | Operators who cannot afford idle trains | Industries we serve</t>
  </si>
  <si>
    <t xml:space="preserve">    CSR</t>
  </si>
  <si>
    <t xml:space="preserve">https://hytengineering.com/csr/</t>
  </si>
  <si>
    <t xml:space="preserve">Corporate Social Responsibility</t>
  </si>
  <si>
    <t xml:space="preserve">Responsibility that starts close to home | Where we want to make a difference | Employees who take part</t>
  </si>
  <si>
    <t xml:space="preserve">    Compliance</t>
  </si>
  <si>
    <t xml:space="preserve">https://hytengineering.com/compliance/</t>
  </si>
  <si>
    <t xml:space="preserve">Compliance</t>
  </si>
  <si>
    <t xml:space="preserve">Doing business the right way | Compliance documents | Further documents</t>
  </si>
  <si>
    <t xml:space="preserve">        Code of Conduct</t>
  </si>
  <si>
    <t xml:space="preserve">https://hytengineering.com/compliance/code-of-conduct/</t>
  </si>
  <si>
    <t xml:space="preserve">Legal page</t>
  </si>
  <si>
    <t xml:space="preserve">Code of Conduct</t>
  </si>
  <si>
    <t xml:space="preserve">        Guidelines</t>
  </si>
  <si>
    <t xml:space="preserve">https://hytengineering.com/compliance/guidelines/</t>
  </si>
  <si>
    <t xml:space="preserve">Business Conduct Guidelines</t>
  </si>
  <si>
    <t xml:space="preserve">        Policy Statement</t>
  </si>
  <si>
    <t xml:space="preserve">https://hytengineering.com/compliance/policy-statement/</t>
  </si>
  <si>
    <t xml:space="preserve">Integrated Policy Statement</t>
  </si>
  <si>
    <t xml:space="preserve">Products</t>
  </si>
  <si>
    <t xml:space="preserve">https://hytengineering.com/products/</t>
  </si>
  <si>
    <t xml:space="preserve">Railway machine tools for every stage of the wheelset's life</t>
  </si>
  <si>
    <t xml:space="preserve">Engineered for the wheelset, built for the workshop | Browse the product range | How to choose the right wheel lathe | Wheel lathe types compared</t>
  </si>
  <si>
    <t xml:space="preserve">Product filter</t>
  </si>
  <si>
    <t xml:space="preserve">    CNC Surface Wheel Lathe</t>
  </si>
  <si>
    <t xml:space="preserve">https://hytengineering.com/surface-wheel-lathe/</t>
  </si>
  <si>
    <t xml:space="preserve">Product page</t>
  </si>
  <si>
    <t xml:space="preserve">CNC Surface Wheel Lathe for wheelsets removed from the vehicle – models YSL-08, YSL-12 and YSL-21</t>
  </si>
  <si>
    <t xml:space="preserve">Re-profiling at floor level | Why workshops choose a surface lathe | Technical specifications | YSL-08 | YSL-12 | YSL-21 | How a removed wheelset is re-profiled | Main features | Where a surface lathe makes sense | From layout to lifetime service | Project photographs | Frequently asked questions</t>
  </si>
  <si>
    <t xml:space="preserve">Product video, Catalogue download (form-gated), On-page sub-navigation, Specification table, Image gallery + lightbox, FAQ accordion</t>
  </si>
  <si>
    <t xml:space="preserve">    CNC Underfloor Wheel Lathe (YUL-08)</t>
  </si>
  <si>
    <t xml:space="preserve">https://hytengineering.com/underfloor-wheel-lathe/</t>
  </si>
  <si>
    <t xml:space="preserve">CNC Underfloor Wheel Lathe YUL-08 – single-axle re-profiling without bogie removal</t>
  </si>
  <si>
    <t xml:space="preserve">Wheel maintenance without taking the train apart | Why workshops choose an underfloor lathe | Technical specifications | From arrival to departure in six steps | Main features | Where the YUL-08 works best | Supported from foundation drawing to final overhaul | Project photographs | Frequently asked questions</t>
  </si>
  <si>
    <t xml:space="preserve">    CNC Underfloor Wheel Lathe (YUGL)</t>
  </si>
  <si>
    <t xml:space="preserve">https://hytengineering.com/underfloor-wheel-lathe-yugl/</t>
  </si>
  <si>
    <t xml:space="preserve">CNC Underfloor Wheel Lathe YUGL – the next-generation underfloor platform for higher automation</t>
  </si>
  <si>
    <t xml:space="preserve">Same principle, more automation | What the YUGL is designed to deliver | Technical specifications | An underfloor cycle with fewer manual steps | Main features | Where the YUGL fits | Planning an automated underfloor lathe | Project photographs | Frequently asked questions</t>
  </si>
  <si>
    <t xml:space="preserve">    CNC Tandem Underfloor Wheel Lathe (YUL-12T)</t>
  </si>
  <si>
    <t xml:space="preserve">https://hytengineering.com/tandem-underfloor-wheel-lathe/</t>
  </si>
  <si>
    <t xml:space="preserve">CNC Tandem Underfloor Wheel Lathe YUL-12T – both wheelsets of a bogie in one setting</t>
  </si>
  <si>
    <t xml:space="preserve">Two wheelsets, one setting | What tandem operation changes in the depot | Technical specifications | One bogie, one cycle | Main features | Where a tandem lathe pays off | Two machines, one point of responsibility | Project photographs | Frequently asked questions</t>
  </si>
  <si>
    <t xml:space="preserve">    CNC Tandem Underfloor Wheel Lathe (YUGLX)</t>
  </si>
  <si>
    <t xml:space="preserve">https://hytengineering.com/tandem-underfloor-wheel-lathe-yuglx/</t>
  </si>
  <si>
    <t xml:space="preserve">CNC Tandem Underfloor Wheel Lathe YUGLX – next-generation tandem platform for automated bogie re-profiling</t>
  </si>
  <si>
    <t xml:space="preserve">A full bogie per cycle, with more automation | What the YUGLX is designed to deliver | Technical specifications | Automated tandem cycle | Main features | Where the YUGLX fits | From pit design to data integration | Project photographs | Frequently asked questions</t>
  </si>
  <si>
    <t xml:space="preserve">    CNC Portal Wheel Lathe</t>
  </si>
  <si>
    <t xml:space="preserve">https://hytengineering.com/portal-wheel-lathe/</t>
  </si>
  <si>
    <t xml:space="preserve">CNC Portal Wheel Lathe YPL-02 for wheelsets removed from the vehicle</t>
  </si>
  <si>
    <t xml:space="preserve">Built for the wheel shop | Why wheel shops choose a portal lathe | Technical specifications | From worn wheelset to restored profile | Main features | Where the YPL-02 works best | Engineered into your wheel shop | Project photographs | Frequently asked questions</t>
  </si>
  <si>
    <t xml:space="preserve">    CNC Roller Type Portal Wheel Lathe</t>
  </si>
  <si>
    <t xml:space="preserve">https://hytengineering.com/roller-type-portal-wheel-lathe/</t>
  </si>
  <si>
    <t xml:space="preserve">CNC Roller Type Portal Wheel Lathe YPL-04 – removed wheelsets supported and driven on rollers</t>
  </si>
  <si>
    <t xml:space="preserve">Portal machining with a roller drive | What the roller-type design offers | Technical specifications | How the YPL-04 works | Main features | Where the YPL-04 fits | Choosing between portal designs | Project photographs | Frequently asked questions</t>
  </si>
  <si>
    <t xml:space="preserve">    CNC Vertical Turning &amp; Boring Machine</t>
  </si>
  <si>
    <t xml:space="preserve">https://hytengineering.com/vertical-turning-boring-machine/</t>
  </si>
  <si>
    <t xml:space="preserve">CNC Vertical Turning &amp; Boring Machine YVM-04 for railway wheels, tyres and hub bores</t>
  </si>
  <si>
    <t xml:space="preserve">The first precision step of a new wheelset | Why machine wheels vertically | Technical specifications | From rough wheel to finished bore | Main features | Where the YVM-04 is used | Precision that lasts | Project photographs | Frequently asked questions</t>
  </si>
  <si>
    <t xml:space="preserve">    CNC Axle Journal Turning &amp; Burnishing Lathe</t>
  </si>
  <si>
    <t xml:space="preserve">https://hytengineering.com/axle-journal-turning-burnishing-lathe/</t>
  </si>
  <si>
    <t xml:space="preserve">CNC Axle Journal Turning &amp; Burnishing Lathe for wheelset overhaul</t>
  </si>
  <si>
    <t xml:space="preserve">Journal finishing, not full axle turning | Why turn and burnish on one machine | Technical specifications | Restoring a journal in six steps | Main features | Where it is used | Consistent journals, overhaul after overhaul | Project photographs | Frequently asked questions</t>
  </si>
  <si>
    <t xml:space="preserve">    CNC Axle Turning Lathe</t>
  </si>
  <si>
    <t xml:space="preserve">https://hytengineering.com/axle-turning-lathe/</t>
  </si>
  <si>
    <t xml:space="preserve">CNC Axle Turning Lathe ATL-01 for complete turning of raw and forged axles</t>
  </si>
  <si>
    <t xml:space="preserve">From forging to finished axle | Built for complete axle turning | Technical specifications | From blank to finished contour | Main features | Who uses the ATL-01 | Part of a complete axle line | Project photographs | Frequently asked questions</t>
  </si>
  <si>
    <t xml:space="preserve">    Wheel Press</t>
  </si>
  <si>
    <t xml:space="preserve">https://hytengineering.com/wheel-presses/</t>
  </si>
  <si>
    <t xml:space="preserve">Wheel Press for mounting and dismounting railway wheelsets</t>
  </si>
  <si>
    <t xml:space="preserve">Making and breaking the interference fit | What a good press-fit needs | Technical specifications | Mounting a wheel, step by step | Main features | Where wheel presses are needed | A press you can rely on | Project photographs | Frequently asked questions</t>
  </si>
  <si>
    <t xml:space="preserve">    Wheel Measuring Station</t>
  </si>
  <si>
    <t xml:space="preserve">https://hytengineering.com/wheel-measuring-station/</t>
  </si>
  <si>
    <t xml:space="preserve">Wheel Measuring Station for fast, traceable wheelset inspection</t>
  </si>
  <si>
    <t xml:space="preserve">Decisions start with measurement | Why measure automatically | Technical specifications | One cycle, a complete record | Main features | Where measurement adds value | Measurements you can trust | Project photographs | Frequently asked questions</t>
  </si>
  <si>
    <t xml:space="preserve">    Dynamic Wheel Balancing Machine</t>
  </si>
  <si>
    <t xml:space="preserve">https://hytengineering.com/dynamic-wheel-balancing-machine/</t>
  </si>
  <si>
    <t xml:space="preserve">Dynamic Wheel Balancing Machine for railway wheels and wheelsets</t>
  </si>
  <si>
    <t xml:space="preserve">Why balance matters as speed rises | What balancing delivers | Technical specifications | From measurement to correction | Main features | Where balancing is applied | Calibrated and supported | Project photographs | Frequently asked questions</t>
  </si>
  <si>
    <t xml:space="preserve">    Multipurpose Armature Machine</t>
  </si>
  <si>
    <t xml:space="preserve">https://hytengineering.com/multi-purpose-armature-machine/</t>
  </si>
  <si>
    <t xml:space="preserve">Multipurpose Armature Machine for traction-motor armature maintenance</t>
  </si>
  <si>
    <t xml:space="preserve">Restoring the commutator, keeping motors in service | Why combine armature operations | Technical specifications | Typical armature overhaul sequence | Main features | Where the machine is used | Set up for your motors | Project photographs | Frequently asked questions</t>
  </si>
  <si>
    <t xml:space="preserve">    Automated Train Washing Plant</t>
  </si>
  <si>
    <t xml:space="preserve">https://hytengineering.com/automated-train-washing-plant/</t>
  </si>
  <si>
    <t xml:space="preserve">Automated Train Washing Plant for drive-through exterior cleaning</t>
  </si>
  <si>
    <t xml:space="preserve">Clean trains without the manual effort | Why automate train washing | Technical specifications | What happens as a train passes through | Main features | Where washing plants are installed | Designed, built and maintained for your depot | Project photographs | Frequently asked questions</t>
  </si>
  <si>
    <t xml:space="preserve">    Rail cum Road Vehicle (Shunter)</t>
  </si>
  <si>
    <t xml:space="preserve">https://hytengineering.com/rail-cum-road-vehicle-shunter/</t>
  </si>
  <si>
    <t xml:space="preserve">Rail cum Road Vehicle (Shunter) for flexible shunting in depots and sidings</t>
  </si>
  <si>
    <t xml:space="preserve">Shunting without tying up a locomotive | What a road-rail shunter changes | Technical specifications | A typical shunting move | Main features | Where shunters are used | Configured for your depot | Project photographs | Frequently asked questions</t>
  </si>
  <si>
    <t xml:space="preserve">    SKC Gleittechnik (Germany)</t>
  </si>
  <si>
    <t xml:space="preserve">https://hytengineering.com/skc-gleittechnik-gmbh-germany/</t>
  </si>
  <si>
    <t xml:space="preserve">SKC Gleittechnik (Germany) – sliding technology, distributed exclusively in India by HYT</t>
  </si>
  <si>
    <t xml:space="preserve">Why sliding surfaces matter | What you gain from HYT as distributor | Product information | Sourcing SKC products through HYT | Typical areas of use | Who the partnership serves | Supplied and supported locally | Image gallery | Frequently asked questions</t>
  </si>
  <si>
    <t xml:space="preserve">Turnkey Projects</t>
  </si>
  <si>
    <t xml:space="preserve">https://hytengineering.com/turnkey-project/</t>
  </si>
  <si>
    <t xml:space="preserve">Turnkey (EPC) Projects for wheel shops and depots</t>
  </si>
  <si>
    <t xml:space="preserve">One partner from empty shed to running workshop | Facilities we design, equip and commission | What a turnkey wheel shop or depot project can include | How a turnkey project is delivered | Fewer interfaces, less risk, earlier output | See our work</t>
  </si>
  <si>
    <t xml:space="preserve">    Wheel Shops</t>
  </si>
  <si>
    <t xml:space="preserve">https://hytengineering.com/turnkey-project/wheel-shops/</t>
  </si>
  <si>
    <t xml:space="preserve">Turnkey wheel shops – from worn wheelset to certified release</t>
  </si>
  <si>
    <t xml:space="preserve">Where worn wheelsets become serviceable again | Scope of a turnkey wheel shop | The stations of an HYT wheel shop | A wheelset's route through the overhaul shop | From separate machines to one connected process | Four elements of an automated wheel shop | The solution at a glance | Built around your fleet | Core equipment in the wheel shop | How we deliver a wheel shop | What a well-planned wheel shop gives you | Wheel shop questions</t>
  </si>
  <si>
    <t xml:space="preserve">Tall hero with action buttons, Interactive tabs, Project cards, FAQ accordion</t>
  </si>
  <si>
    <t xml:space="preserve">    Railway Maintenance Depots</t>
  </si>
  <si>
    <t xml:space="preserve">https://hytengineering.com/turnkey-project/railway-maintenance-depots/</t>
  </si>
  <si>
    <t xml:space="preserve">Turnkey equipment for railway maintenance depots</t>
  </si>
  <si>
    <t xml:space="preserve">Built around the hours a train is out of service | Depot systems under one contract | A train's visit to the depot | Equipment in the depot | Delivering a depot project | What the depot owner gains | Depot questions</t>
  </si>
  <si>
    <t xml:space="preserve">FAQ accordion</t>
  </si>
  <si>
    <t xml:space="preserve">    Rolling Stock Manufacturing Facilities</t>
  </si>
  <si>
    <t xml:space="preserve">https://hytengineering.com/turnkey-project/rolling-stock-manufacturing-facilities/</t>
  </si>
  <si>
    <t xml:space="preserve">Wheel and axle shops for rolling stock manufacturing facilities</t>
  </si>
  <si>
    <t xml:space="preserve">The wheelset supply inside a vehicle factory | Our part of the factory | From incoming parts to bogie assembly | Equipment in the wheel and axle shop | How we deliver it | Why factories use one partner for this shop | Questions from manufacturers</t>
  </si>
  <si>
    <t xml:space="preserve">    Wheelset Manufacturing Plants</t>
  </si>
  <si>
    <t xml:space="preserve">https://hytengineering.com/turnkey-project/wheelset-manufacturing-plants/</t>
  </si>
  <si>
    <t xml:space="preserve">Turnkey plants for new wheelset manufacturing</t>
  </si>
  <si>
    <t xml:space="preserve">Producing wheelsets as a product | What a wheelset plant project includes | Station by station through a wheelset plant | Equipment in the plant | Delivering the plant | What the plant owner gains | Wheelset plant questions</t>
  </si>
  <si>
    <t xml:space="preserve">    Wheel Machining Lines</t>
  </si>
  <si>
    <t xml:space="preserve">https://hytengineering.com/turnkey-project/wheel-machining-lines/</t>
  </si>
  <si>
    <t xml:space="preserve">Turnkey wheel machining lines</t>
  </si>
  <si>
    <t xml:space="preserve">A line, not a row of machines | Three things that make a wheel line work | Operations along the line | Equipment in the line | Delivering a wheel machining line | Outcomes for the line owner | Wheel line questions</t>
  </si>
  <si>
    <t xml:space="preserve">    Axle Machining Lines</t>
  </si>
  <si>
    <t xml:space="preserve">https://hytengineering.com/turnkey-project/axle-machining-lines/</t>
  </si>
  <si>
    <t xml:space="preserve">Turnkey axle machining lines</t>
  </si>
  <si>
    <t xml:space="preserve">Two kinds of axle work, one line concept | Scope of an axle line | Typical sequence in an axle line | Equipment in the line | Delivering an axle line | What the line owner gains | Axle line questions</t>
  </si>
  <si>
    <t xml:space="preserve">    Executed Projects</t>
  </si>
  <si>
    <t xml:space="preserve">https://hytengineering.com/executed-projects/</t>
  </si>
  <si>
    <t xml:space="preserve">Executed projects</t>
  </si>
  <si>
    <t xml:space="preserve">Machines at work in railway workshops | Executed projects</t>
  </si>
  <si>
    <t xml:space="preserve">Project cards</t>
  </si>
  <si>
    <t xml:space="preserve">    Projects Under Execution</t>
  </si>
  <si>
    <t xml:space="preserve">https://hytengineering.com/under-execution/</t>
  </si>
  <si>
    <t xml:space="preserve">Projects under execution</t>
  </si>
  <si>
    <t xml:space="preserve">Machines for high-frequency urban fleets | Projects under execution</t>
  </si>
  <si>
    <t xml:space="preserve">Services</t>
  </si>
  <si>
    <t xml:space="preserve">https://hytengineering.com/services/</t>
  </si>
  <si>
    <t xml:space="preserve">Services that keep railway machine tools productive for life</t>
  </si>
  <si>
    <t xml:space="preserve">When the wheel lathe stops, trains wait | Choose the support your workshop needs | Six ways to contract maintenance | How we support you across the machine life cycle | What you can expect from HYT service</t>
  </si>
  <si>
    <t xml:space="preserve">    Installation &amp; Commissioning</t>
  </si>
  <si>
    <t xml:space="preserve">https://hytengineering.com/installation-commissioning/</t>
  </si>
  <si>
    <t xml:space="preserve">Installation and commissioning of railway machine tools</t>
  </si>
  <si>
    <t xml:space="preserve">Accuracy starts with the foundation | From delivery to handover in seven steps | Who does what | What you receive at handover | Installing without stopping the workshop | Frequently asked questions</t>
  </si>
  <si>
    <t xml:space="preserve">    Maintenance Services</t>
  </si>
  <si>
    <t xml:space="preserve">https://hytengineering.com/maintenance/</t>
  </si>
  <si>
    <t xml:space="preserve">Maintenance services and contracts</t>
  </si>
  <si>
    <t xml:space="preserve">Planned maintenance costs less than downtime | Our maintenance services | Contract types compared | Which contract is right for us?</t>
  </si>
  <si>
    <t xml:space="preserve">Maintenance Services</t>
  </si>
  <si>
    <t xml:space="preserve">        Operation &amp; Maintenance (O&amp;M)</t>
  </si>
  <si>
    <t xml:space="preserve">https://hytengineering.com/operation-and-maintenance/</t>
  </si>
  <si>
    <t xml:space="preserve">Operation &amp; Maintenance (O&amp;M) contracts for wheel lathes</t>
  </si>
  <si>
    <t xml:space="preserve">One team responsible for output and machine health | What an O&amp;M contract includes | What is not included (unless agreed in the contract) | How an O&amp;M contract runs | Frequently asked questions</t>
  </si>
  <si>
    <t xml:space="preserve">        Annual Maintenance Contract (AMC)</t>
  </si>
  <si>
    <t xml:space="preserve">https://hytengineering.com/annual-maintenance-contract/</t>
  </si>
  <si>
    <t xml:space="preserve">Annual Maintenance Contract (AMC)</t>
  </si>
  <si>
    <t xml:space="preserve">Predictable labour cost, planned machine care | What an AMC includes | What is not included | What a typical AMC year looks like | Frequently asked questions</t>
  </si>
  <si>
    <t xml:space="preserve">        Comprehensive Maintenance Contract (CMC)</t>
  </si>
  <si>
    <t xml:space="preserve">https://hytengineering.com/comprehensive-annual-maintenance-contract/</t>
  </si>
  <si>
    <t xml:space="preserve">Comprehensive Maintenance Contract (CMC)</t>
  </si>
  <si>
    <t xml:space="preserve">Maintenance and spares under one fixed fee | What a CMC includes | What is not included | AMC or CMC? | Frequently asked questions</t>
  </si>
  <si>
    <t xml:space="preserve">        Operation Contract</t>
  </si>
  <si>
    <t xml:space="preserve">https://hytengineering.com/operation-contract/</t>
  </si>
  <si>
    <t xml:space="preserve">Operation Contract: trained operators for your machine</t>
  </si>
  <si>
    <t xml:space="preserve">Operation only – a clear, narrow scope | Included | Not included | Frequently asked questions</t>
  </si>
  <si>
    <t xml:space="preserve">        Service Contract</t>
  </si>
  <si>
    <t xml:space="preserve">https://hytengineering.com/service-contract/</t>
  </si>
  <si>
    <t xml:space="preserve">Service Contract: call-based support at agreed rates</t>
  </si>
  <si>
    <t xml:space="preserve">Flexible support without an annual commitment | How a service call works | Included and not included | Frequently asked questions</t>
  </si>
  <si>
    <t xml:space="preserve">        Spare Parts &amp; Support</t>
  </si>
  <si>
    <t xml:space="preserve">https://hytengineering.com/spare-supply/</t>
  </si>
  <si>
    <t xml:space="preserve">Spare parts and technical support</t>
  </si>
  <si>
    <t xml:space="preserve">The right part, first time | Spares and support for the whole machine | From enquiry to dispatch | Hold the parts that stop the machine | Information to include with a spares enquiry | Frequently asked questions</t>
  </si>
  <si>
    <t xml:space="preserve">    Retro-fitment &amp; Upgradation</t>
  </si>
  <si>
    <t xml:space="preserve">https://hytengineering.com/retro-fitment-upgradation/</t>
  </si>
  <si>
    <t xml:space="preserve">Retro-fitment and upgradation of wheel lathes</t>
  </si>
  <si>
    <t xml:space="preserve">Keep the structure, renew the intelligence | Typical retro-fitment packages | Signs that a machine is ready for retro-fitment | How a retro-fitment project runs | Frequently asked questions</t>
  </si>
  <si>
    <t xml:space="preserve">    Repair</t>
  </si>
  <si>
    <t xml:space="preserve">https://hytengineering.com/repair/</t>
  </si>
  <si>
    <t xml:space="preserve">Repair of wheel lathes and wheel shop machines</t>
  </si>
  <si>
    <t xml:space="preserve">Fix the cause, not just the symptom | Types of repair | How a repair is handled | Information that speeds up diagnosis | Frequently asked questions</t>
  </si>
  <si>
    <t xml:space="preserve">    Machine Relocation &amp; Shifting</t>
  </si>
  <si>
    <t xml:space="preserve">https://hytengineering.com/shifting/</t>
  </si>
  <si>
    <t xml:space="preserve">Machine relocation and shifting</t>
  </si>
  <si>
    <t xml:space="preserve">Precision machines do not travel well on their own | How we relocate a machine | Controlled risk at every stage | Frequently asked questions</t>
  </si>
  <si>
    <t xml:space="preserve">    MAAS – Machine as a Service (Wet Leasing)</t>
  </si>
  <si>
    <t xml:space="preserve">https://hytengineering.com/wet-leasing/</t>
  </si>
  <si>
    <t xml:space="preserve">Machine as a Service (MAAS): wet leasing of wheel lathes</t>
  </si>
  <si>
    <t xml:space="preserve">Pay for re-profiled wheels, not for a machine | One agreement, complete capability | Buy, O&amp;M or Machine as a Service? | When Machine as a Service makes sense | From enquiry to output | Frequently asked questions</t>
  </si>
  <si>
    <t xml:space="preserve">    Training</t>
  </si>
  <si>
    <t xml:space="preserve">https://hytengineering.com/training/</t>
  </si>
  <si>
    <t xml:space="preserve">Training for operators, programmers and maintainers</t>
  </si>
  <si>
    <t xml:space="preserve">Skilled operators save wheel material | Programmes for each role | Typical training topics | Training formats | How we plan a training programme | Frequently asked questions</t>
  </si>
  <si>
    <t xml:space="preserve">    After-Sales Service Network</t>
  </si>
  <si>
    <t xml:space="preserve">https://hytengineering.com/service-centers/</t>
  </si>
  <si>
    <t xml:space="preserve">After-sales service network</t>
  </si>
  <si>
    <t xml:space="preserve">Coordinated from Pune, delivered on site | How we support you | What happens after you raise a request | Have this ready when you contact us | Contact HYT service</t>
  </si>
  <si>
    <t xml:space="preserve">Contact details + map link</t>
  </si>
  <si>
    <t xml:space="preserve">Industries</t>
  </si>
  <si>
    <t xml:space="preserve">https://hytengineering.com/industries/</t>
  </si>
  <si>
    <t xml:space="preserve">Industries We Serve</t>
  </si>
  <si>
    <t xml:space="preserve">Solutions shaped by your operation | One discipline: precise machining of heavy rotating parts | What every customer needs from a machine partner | From your requirement to a working solution | Selected projects</t>
  </si>
  <si>
    <t xml:space="preserve">    Railways</t>
  </si>
  <si>
    <t xml:space="preserve">https://hytengineering.com/industries/railways/</t>
  </si>
  <si>
    <t xml:space="preserve">Solutions for Railways</t>
  </si>
  <si>
    <t xml:space="preserve">Large, mixed fleets and little time to spare | Faster re-profiling, longer wheel life | Machines for railway sheds and workshops | Support for the whole machine life | HYT machines at work on railways | Frequently asked questions</t>
  </si>
  <si>
    <t xml:space="preserve">    Metros</t>
  </si>
  <si>
    <t xml:space="preserve">https://hytengineering.com/industries/metros/</t>
  </si>
  <si>
    <t xml:space="preserve">Solutions for Metros and Rapid Transit</t>
  </si>
  <si>
    <t xml:space="preserve">High frequency, short windows, no spare trains | Wheel maintenance that fits the night shift | Machines for metro depots | Keeping depot machines available | HYT machines for metro and rapid transit | Frequently asked questions</t>
  </si>
  <si>
    <t xml:space="preserve">    Rolling Stock Manufacturers</t>
  </si>
  <si>
    <t xml:space="preserve">https://hytengineering.com/industries/rolling-stock-manufacturers/</t>
  </si>
  <si>
    <t xml:space="preserve">Solutions for Rolling Stock Manufacturers</t>
  </si>
  <si>
    <t xml:space="preserve">Tight tolerances at production volumes | A complete process from raw component to certified wheelset | Machines for wheelset production | From line layout to lifetime support | Our turning machines in railway wheel shops | Frequently asked questions</t>
  </si>
  <si>
    <t xml:space="preserve">    Defence</t>
  </si>
  <si>
    <t xml:space="preserve">https://hytengineering.com/industries/defence/</t>
  </si>
  <si>
    <t xml:space="preserve">Solutions for Defence</t>
  </si>
  <si>
    <t xml:space="preserve">Readiness, self-reliance and long service lives | Capability for defence workshops | Machines suited to defence applications | Long-term support | Frequently asked questions</t>
  </si>
  <si>
    <t xml:space="preserve">    Heavy Engineering</t>
  </si>
  <si>
    <t xml:space="preserve">https://hytengineering.com/industries/heavy-engineering/</t>
  </si>
  <si>
    <t xml:space="preserve">Solutions for Heavy Engineering</t>
  </si>
  <si>
    <t xml:space="preserve">Big parts, heavy loads, costly downtime | Railway-grade machining for industry | Machines for heavy engineering | Support that protects production | Frequently asked questions</t>
  </si>
  <si>
    <t xml:space="preserve">Media &amp; Resources</t>
  </si>
  <si>
    <t xml:space="preserve">Latest News</t>
  </si>
  <si>
    <t xml:space="preserve">https://hytengineering.com/news/</t>
  </si>
  <si>
    <t xml:space="preserve">Latest news from HYT Engineering</t>
  </si>
  <si>
    <t xml:space="preserve">Recent announcements | What we publish here | More from HYT</t>
  </si>
  <si>
    <t xml:space="preserve">News cards</t>
  </si>
  <si>
    <t xml:space="preserve">International Exhibitions</t>
  </si>
  <si>
    <t xml:space="preserve">https://hytengineering.com/international-exhibitions/</t>
  </si>
  <si>
    <t xml:space="preserve">HYT at international rail exhibitions</t>
  </si>
  <si>
    <t xml:space="preserve">Conversations that shape better workshops | Where we have exhibited | What you can discuss with us | Impressions | More events and news</t>
  </si>
  <si>
    <t xml:space="preserve">Image gallery + lightbox</t>
  </si>
  <si>
    <t xml:space="preserve">Domestic Exhibitions</t>
  </si>
  <si>
    <t xml:space="preserve">https://hytengineering.com/domestic-exhibitions/</t>
  </si>
  <si>
    <t xml:space="preserve">HYT at exhibitions in India</t>
  </si>
  <si>
    <t xml:space="preserve">Why Indian events matter to us | Conversations we look forward to | More events and news</t>
  </si>
  <si>
    <t xml:space="preserve">Blog</t>
  </si>
  <si>
    <t xml:space="preserve">https://hytengineering.com/blog/</t>
  </si>
  <si>
    <t xml:space="preserve">HYT Blog</t>
  </si>
  <si>
    <t xml:space="preserve">Two kinds of reading | Coming soon | Useful while you wait</t>
  </si>
  <si>
    <t xml:space="preserve">Knowledge Centre</t>
  </si>
  <si>
    <t xml:space="preserve">https://hytengineering.com/knowledge-centre/</t>
  </si>
  <si>
    <t xml:space="preserve">Knowledge Centre: wheel wear, re-profiling and lathe planning</t>
  </si>
  <si>
    <t xml:space="preserve">Start with the question you have | Understanding wheel wear | Underfloor vs portal vs surface lathe: how to choose | Single or tandem, one lathe or two | Planning an underfloor lathe pit | Extending wheel life: re-profiling strategy | Building a wheel-life programme | Frequently asked questions | Machines mentioned in these guides</t>
  </si>
  <si>
    <t xml:space="preserve">Downloads</t>
  </si>
  <si>
    <t xml:space="preserve">https://hytengineering.com/downloads/</t>
  </si>
  <si>
    <t xml:space="preserve">Product catalogues | From catalogue to proposal | Find a machine</t>
  </si>
  <si>
    <t xml:space="preserve">Download list</t>
  </si>
  <si>
    <t xml:space="preserve">Work With Us</t>
  </si>
  <si>
    <t xml:space="preserve">https://hytengineering.com/work-with-us/</t>
  </si>
  <si>
    <t xml:space="preserve">Work with HYT Engineering</t>
  </si>
  <si>
    <t xml:space="preserve">Three ways to work with us | Work that you can see running on the tracks | Why suppliers grow with HYT</t>
  </si>
  <si>
    <t xml:space="preserve">    Careers</t>
  </si>
  <si>
    <t xml:space="preserve">https://hytengineering.com/career/</t>
  </si>
  <si>
    <t xml:space="preserve">Build your career in railway engineering</t>
  </si>
  <si>
    <t xml:space="preserve">Where ambitions are realised | A range of benefits for you and your family | Where you will work | Where you could work | From application to your first project | No listed vacancy? Apply anyway | Send your application | See what working here is like | Questions from candidates</t>
  </si>
  <si>
    <t xml:space="preserve">Tall hero with action buttons, Animated counters, Interactive tabs, Career application form, FAQ accordion</t>
  </si>
  <si>
    <t xml:space="preserve">    Supplier Registration</t>
  </si>
  <si>
    <t xml:space="preserve">https://hytengineering.com/supplier-registration/</t>
  </si>
  <si>
    <t xml:space="preserve">Supplier registration</t>
  </si>
  <si>
    <t xml:space="preserve">Supply categories | What we look for in a supplier | How registration works | Register your company</t>
  </si>
  <si>
    <t xml:space="preserve">Supplier registration form</t>
  </si>
  <si>
    <t xml:space="preserve">    Life at HYT</t>
  </si>
  <si>
    <t xml:space="preserve">https://hytengineering.com/memorialization/</t>
  </si>
  <si>
    <t xml:space="preserve">Life at HYT</t>
  </si>
  <si>
    <t xml:space="preserve">More than a workplace | What we do together | Moments from our year | Become part of the team</t>
  </si>
  <si>
    <t xml:space="preserve">Contact Us (header button)</t>
  </si>
  <si>
    <t xml:space="preserve">Contact Us</t>
  </si>
  <si>
    <t xml:space="preserve">https://hytengineering.com/contact-us/</t>
  </si>
  <si>
    <t xml:space="preserve">Contact HYT Engineering</t>
  </si>
  <si>
    <t xml:space="preserve">Talk to the people who build the machines | Contact details | Send an enquiry</t>
  </si>
  <si>
    <t xml:space="preserve">Contact details + map link, Enquiry form</t>
  </si>
  <si>
    <t xml:space="preserve">    Thank You</t>
  </si>
  <si>
    <t xml:space="preserve">https://hytengineering.com/thank-you/</t>
  </si>
  <si>
    <t xml:space="preserve">Utility page</t>
  </si>
  <si>
    <t xml:space="preserve">Thank you – we have received your details</t>
  </si>
  <si>
    <t xml:space="preserve">Three steps from here | Urgent matters | Continue exploring</t>
  </si>
  <si>
    <t xml:space="preserve">No (noindex)</t>
  </si>
  <si>
    <t xml:space="preserve">Footer – Legal</t>
  </si>
  <si>
    <t xml:space="preserve">Privacy Policy</t>
  </si>
  <si>
    <t xml:space="preserve">https://hytengineering.com/privacy-policy/</t>
  </si>
  <si>
    <t xml:space="preserve">Disclaimer</t>
  </si>
  <si>
    <t xml:space="preserve">https://hytengineering.com/disclaimer/</t>
  </si>
  <si>
    <t xml:space="preserve">Website disclaimer</t>
  </si>
  <si>
    <t xml:space="preserve">Cookie Policy</t>
  </si>
  <si>
    <t xml:space="preserve">https://hytengineering.com/cookie-policy/</t>
  </si>
  <si>
    <t xml:space="preserve">Footer / Utility</t>
  </si>
  <si>
    <t xml:space="preserve">Sitemap</t>
  </si>
  <si>
    <t xml:space="preserve">https://hytengineering.com/sitemap/</t>
  </si>
  <si>
    <t xml:space="preserve">All pages | Not sure where to begin?</t>
  </si>
  <si>
    <t xml:space="preserve">Searchable sitemap</t>
  </si>
  <si>
    <t xml:space="preserve">Page Not Found</t>
  </si>
  <si>
    <t xml:space="preserve">https://hytengineering.com/404.html</t>
  </si>
  <si>
    <t xml:space="preserve">Page not found</t>
  </si>
  <si>
    <t xml:space="preserve">Try one of these pages</t>
  </si>
  <si>
    <t xml:space="preserve">Top Menu Item</t>
  </si>
  <si>
    <t xml:space="preserve">Dropdown Group</t>
  </si>
  <si>
    <t xml:space="preserve">Menu Link</t>
  </si>
  <si>
    <t xml:space="preserve">Indent</t>
  </si>
  <si>
    <t xml:space="preserve">URL</t>
  </si>
  <si>
    <t xml:space="preserve">Who We Are</t>
  </si>
  <si>
    <t xml:space="preserve">Group Companies</t>
  </si>
  <si>
    <t xml:space="preserve">History</t>
  </si>
  <si>
    <t xml:space="preserve">Credentials</t>
  </si>
  <si>
    <t xml:space="preserve">Sub-item</t>
  </si>
  <si>
    <t xml:space="preserve">Awards</t>
  </si>
  <si>
    <t xml:space="preserve">Clientele</t>
  </si>
  <si>
    <t xml:space="preserve">Responsibility</t>
  </si>
  <si>
    <t xml:space="preserve">CSR</t>
  </si>
  <si>
    <t xml:space="preserve">Wheel Lathes</t>
  </si>
  <si>
    <t xml:space="preserve">CNC Surface Wheel Lathe</t>
  </si>
  <si>
    <t xml:space="preserve">CNC Underfloor Wheel Lathe (YUL-08)</t>
  </si>
  <si>
    <t xml:space="preserve">CNC Underfloor Wheel Lathe (YUGL)</t>
  </si>
  <si>
    <t xml:space="preserve">CNC Tandem Underfloor Wheel Lathe (YUL-12T)</t>
  </si>
  <si>
    <t xml:space="preserve">CNC Tandem Underfloor Wheel Lathe (YUGLX)</t>
  </si>
  <si>
    <t xml:space="preserve">CNC Portal Wheel Lathe</t>
  </si>
  <si>
    <t xml:space="preserve">CNC Roller Type Portal Wheel Lathe</t>
  </si>
  <si>
    <t xml:space="preserve">Wheel &amp; Axle Shop Machines</t>
  </si>
  <si>
    <t xml:space="preserve">CNC Vertical Turning &amp; Boring Machine</t>
  </si>
  <si>
    <t xml:space="preserve">CNC Axle Journal Turning &amp; Burnishing Lathe</t>
  </si>
  <si>
    <t xml:space="preserve">CNC Axle Turning Lathe</t>
  </si>
  <si>
    <t xml:space="preserve">Wheel Press</t>
  </si>
  <si>
    <t xml:space="preserve">Wheel Measuring Station</t>
  </si>
  <si>
    <t xml:space="preserve">Dynamic Wheel Balancing Machine</t>
  </si>
  <si>
    <t xml:space="preserve">Depot &amp; Workshop Equipment</t>
  </si>
  <si>
    <t xml:space="preserve">Multipurpose Armature Machine</t>
  </si>
  <si>
    <t xml:space="preserve">Automated Train Washing Plant</t>
  </si>
  <si>
    <t xml:space="preserve">Rail cum Road Vehicle (Shunter)</t>
  </si>
  <si>
    <t xml:space="preserve">Partner Products</t>
  </si>
  <si>
    <t xml:space="preserve">SKC Gleittechnik (Germany)</t>
  </si>
  <si>
    <t xml:space="preserve">Turnkey Solutions</t>
  </si>
  <si>
    <t xml:space="preserve">Wheel Shops</t>
  </si>
  <si>
    <t xml:space="preserve">Railway Maintenance Depots</t>
  </si>
  <si>
    <t xml:space="preserve">Rolling Stock Manufacturing Facilities</t>
  </si>
  <si>
    <t xml:space="preserve">Wheelset Manufacturing Plants</t>
  </si>
  <si>
    <t xml:space="preserve">Wheel Machining Lines</t>
  </si>
  <si>
    <t xml:space="preserve">Axle Machining Lines</t>
  </si>
  <si>
    <t xml:space="preserve">Projects &amp; Automation</t>
  </si>
  <si>
    <t xml:space="preserve">Executed Projects</t>
  </si>
  <si>
    <t xml:space="preserve">Projects Under Execution</t>
  </si>
  <si>
    <t xml:space="preserve">Installation &amp; Commissioning</t>
  </si>
  <si>
    <t xml:space="preserve">Operation &amp; Maintenance (O&amp;M)</t>
  </si>
  <si>
    <t xml:space="preserve">Operation Contract</t>
  </si>
  <si>
    <t xml:space="preserve">Service Contract</t>
  </si>
  <si>
    <t xml:space="preserve">Spare Parts &amp; Support</t>
  </si>
  <si>
    <t xml:space="preserve">Retro-fitment &amp; Upgradation</t>
  </si>
  <si>
    <t xml:space="preserve">Repair</t>
  </si>
  <si>
    <t xml:space="preserve">Machine Relocation &amp; Shifting</t>
  </si>
  <si>
    <t xml:space="preserve">MAAS – Machine as a Service (Wet Leasing)</t>
  </si>
  <si>
    <t xml:space="preserve">Training</t>
  </si>
  <si>
    <t xml:space="preserve">After-Sales Service Network</t>
  </si>
  <si>
    <t xml:space="preserve">Railways</t>
  </si>
  <si>
    <t xml:space="preserve">Metros</t>
  </si>
  <si>
    <t xml:space="preserve">Rolling Stock Manufacturers</t>
  </si>
  <si>
    <t xml:space="preserve">Defence</t>
  </si>
  <si>
    <t xml:space="preserve">Heavy Engineering</t>
  </si>
  <si>
    <t xml:space="preserve">News &amp; Events</t>
  </si>
  <si>
    <t xml:space="preserve">Resources</t>
  </si>
  <si>
    <t xml:space="preserve">Careers</t>
  </si>
  <si>
    <t xml:space="preserve">Supplier Registration</t>
  </si>
  <si>
    <t xml:space="preserve">Contact Us (button)</t>
  </si>
  <si>
    <t xml:space="preserve">Top bar quick links</t>
  </si>
  <si>
    <t xml:space="preserve">Knowledge</t>
  </si>
  <si>
    <t xml:space="preserve">Join our team</t>
  </si>
  <si>
    <t xml:space="preserve">Next Event (highlighted)</t>
  </si>
  <si>
    <t xml:space="preserve">Search (site search overlay)</t>
  </si>
  <si>
    <t xml:space="preserve">Footer Column</t>
  </si>
  <si>
    <t xml:space="preserve">Link</t>
  </si>
  <si>
    <t xml:space="preserve">Company</t>
  </si>
  <si>
    <t xml:space="preserve">Products &amp; Projects</t>
  </si>
  <si>
    <t xml:space="preserve">Bottom strip – Legal</t>
  </si>
  <si>
    <t xml:space="preserve">Social media</t>
  </si>
  <si>
    <t xml:space="preserve">LinkedIn</t>
  </si>
  <si>
    <t xml:space="preserve">https://www.linkedin.com/company/hyt-engineering-company-private-limited/</t>
  </si>
  <si>
    <t xml:space="preserve">YouTube</t>
  </si>
  <si>
    <t xml:space="preserve">https://www.youtube.com/@HYTEngineeringCompanyPvtLtd/videos</t>
  </si>
  <si>
    <t xml:space="preserve">Language / Region</t>
  </si>
  <si>
    <t xml:space="preserve">URL Folder</t>
  </si>
  <si>
    <t xml:space="preserve">hreflang</t>
  </si>
  <si>
    <t xml:space="preserve">Example URL</t>
  </si>
  <si>
    <t xml:space="preserve">Pages (formula)</t>
  </si>
  <si>
    <t xml:space="preserve">Translation</t>
  </si>
  <si>
    <t xml:space="preserve">English (Global) – default</t>
  </si>
  <si>
    <t xml:space="preserve">/</t>
  </si>
  <si>
    <t xml:space="preserve">en</t>
  </si>
  <si>
    <t xml:space="preserve">Master copy, British spelling</t>
  </si>
  <si>
    <t xml:space="preserve">German (Germany)</t>
  </si>
  <si>
    <t xml:space="preserve">/de-de/</t>
  </si>
  <si>
    <t xml:space="preserve">de-DE</t>
  </si>
  <si>
    <t xml:space="preserve">https://hytengineering.com/de-de/products/</t>
  </si>
  <si>
    <t xml:space="preserve">Translated – native review pending</t>
  </si>
  <si>
    <t xml:space="preserve">French (France)</t>
  </si>
  <si>
    <t xml:space="preserve">/fr-fr/</t>
  </si>
  <si>
    <t xml:space="preserve">fr-FR</t>
  </si>
  <si>
    <t xml:space="preserve">https://hytengineering.com/fr-fr/products/</t>
  </si>
  <si>
    <t xml:space="preserve">Italian (Italy)</t>
  </si>
  <si>
    <t xml:space="preserve">/it-it/</t>
  </si>
  <si>
    <t xml:space="preserve">it-IT</t>
  </si>
  <si>
    <t xml:space="preserve">https://hytengineering.com/it-it/products/</t>
  </si>
  <si>
    <t xml:space="preserve">Dutch (Netherlands)</t>
  </si>
  <si>
    <t xml:space="preserve">/nl-nl/</t>
  </si>
  <si>
    <t xml:space="preserve">nl-NL</t>
  </si>
  <si>
    <t xml:space="preserve">https://hytengineering.com/nl-nl/products/</t>
  </si>
  <si>
    <t xml:space="preserve">English (North America)</t>
  </si>
  <si>
    <t xml:space="preserve">/en-us/</t>
  </si>
  <si>
    <t xml:space="preserve">en-US</t>
  </si>
  <si>
    <t xml:space="preserve">https://hytengineering.com/en-us/products/</t>
  </si>
  <si>
    <t xml:space="preserve">Derived from English, American spelling</t>
  </si>
  <si>
    <t xml:space="preserve">Total HTML pages</t>
  </si>
  <si>
    <t xml:space="preserve">x-default hreflang points to the English (Global) version. URL slugs are identical in every language.</t>
  </si>
  <si>
    <t xml:space="preserve">#</t>
  </si>
  <si>
    <t xml:space="preserve">Old URL</t>
  </si>
  <si>
    <t xml:space="preserve">New URL</t>
  </si>
  <si>
    <t xml:space="preserve">Reason</t>
  </si>
  <si>
    <t xml:space="preserve">https://hytengineering.com/cnc-surface-wheel-lathe/</t>
  </si>
  <si>
    <t xml:space="preserve">Workbook Redirects tab (old URL)</t>
  </si>
  <si>
    <t xml:space="preserve">https://hytengineering.com/cnc-underfloor-wheel-lathe/</t>
  </si>
  <si>
    <t xml:space="preserve">https://hytengineering.com/cnc-tandem-underfloor-wheel-lathe/</t>
  </si>
  <si>
    <t xml:space="preserve">https://hytengineering.com/cnc-portal-wheel-lathe/</t>
  </si>
  <si>
    <t xml:space="preserve">https://hytengineering.com/cnc-vertical-turning-boring-machine/</t>
  </si>
  <si>
    <t xml:space="preserve">https://hytengineering.com/cnc-axle-journal-turning-burnishing-lathe/</t>
  </si>
  <si>
    <t xml:space="preserve">https://hytengineering.com/multipurpose-armature-machine/</t>
  </si>
  <si>
    <t xml:space="preserve">https://hytengineering.com/wheel-press/</t>
  </si>
  <si>
    <t xml:space="preserve">https://hytengineering.com/epc-project/</t>
  </si>
  <si>
    <t xml:space="preserve">https://hytengineering.com/maintainance/</t>
  </si>
  <si>
    <t xml:space="preserve">https://hytengineering.com/installation-and-commissioning/</t>
  </si>
  <si>
    <t xml:space="preserve">Old duplicate page</t>
  </si>
  <si>
    <t xml:space="preserve">https://hytengineering.com/wheel-shop-automation/</t>
  </si>
  <si>
    <t xml:space="preserve">Merged into Wheel Shops at HYT's request</t>
  </si>
  <si>
    <t xml:space="preserve">Each redirect also applies inside every language folder (e.g. /de-de/epc-project/ → /de-de/turnkey-project/). Must be server-side 301s (.htaccess, Netlify _redirects or nginx – files provided).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</si>
</sst>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84A72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84A72"/>
        <bgColor rgb="FF333399"/>
      </patternFill>
    </fill>
    <fill>
      <patternFill patternType="solid">
        <fgColor rgb="FFF58220"/>
        <bgColor rgb="FFFF6600"/>
      </patternFill>
    </fill>
    <fill>
      <patternFill patternType="solid">
        <fgColor rgb="FFDCE8F3"/>
        <bgColor rgb="FFD0D5DB"/>
      </patternFill>
    </fill>
    <fill>
      <patternFill patternType="solid">
        <fgColor rgb="FFFFFFFF"/>
        <bgColor rgb="FFF7F9FB"/>
      </patternFill>
    </fill>
    <fill>
      <patternFill patternType="solid">
        <fgColor rgb="FFF7F9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84A72"/>
          <bgColor rgb="FF000000"/>
        </patternFill>
      </fill>
    </dxf>
    <dxf>
      <fill>
        <patternFill patternType="solid">
          <fgColor rgb="FFDCE8F3"/>
          <bgColor rgb="FF000000"/>
        </patternFill>
      </fill>
    </dxf>
    <dxf>
      <fill>
        <patternFill patternType="solid">
          <fgColor rgb="FFF58220"/>
          <bgColor rgb="FF000000"/>
        </patternFill>
      </fill>
    </dxf>
    <dxf>
      <fill>
        <patternFill patternType="solid">
          <fgColor rgb="FFF7F9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B"/>
      <rgbColor rgb="FFDCE8F3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8220"/>
      <rgbColor rgb="FFFF6600"/>
      <rgbColor rgb="FF666699"/>
      <rgbColor rgb="FF969696"/>
      <rgbColor rgb="FF184A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ytengineering.com/" TargetMode="External"/><Relationship Id="rId2" Type="http://schemas.openxmlformats.org/officeDocument/2006/relationships/hyperlink" Target="https://hytengineering.com/company/" TargetMode="External"/><Relationship Id="rId3" Type="http://schemas.openxmlformats.org/officeDocument/2006/relationships/hyperlink" Target="https://hytengineering.com/group-companies/" TargetMode="External"/><Relationship Id="rId4" Type="http://schemas.openxmlformats.org/officeDocument/2006/relationships/hyperlink" Target="https://hytengineering.com/history/" TargetMode="External"/><Relationship Id="rId5" Type="http://schemas.openxmlformats.org/officeDocument/2006/relationships/hyperlink" Target="https://hytengineering.com/quality/" TargetMode="External"/><Relationship Id="rId6" Type="http://schemas.openxmlformats.org/officeDocument/2006/relationships/hyperlink" Target="https://hytengineering.com/certifications/" TargetMode="External"/><Relationship Id="rId7" Type="http://schemas.openxmlformats.org/officeDocument/2006/relationships/hyperlink" Target="https://hytengineering.com/awards/" TargetMode="External"/><Relationship Id="rId8" Type="http://schemas.openxmlformats.org/officeDocument/2006/relationships/hyperlink" Target="https://hytengineering.com/clientele/" TargetMode="External"/><Relationship Id="rId9" Type="http://schemas.openxmlformats.org/officeDocument/2006/relationships/hyperlink" Target="https://hytengineering.com/csr/" TargetMode="External"/><Relationship Id="rId10" Type="http://schemas.openxmlformats.org/officeDocument/2006/relationships/hyperlink" Target="https://hytengineering.com/compliance/" TargetMode="External"/><Relationship Id="rId11" Type="http://schemas.openxmlformats.org/officeDocument/2006/relationships/hyperlink" Target="https://hytengineering.com/compliance/code-of-conduct/" TargetMode="External"/><Relationship Id="rId12" Type="http://schemas.openxmlformats.org/officeDocument/2006/relationships/hyperlink" Target="https://hytengineering.com/compliance/guidelines/" TargetMode="External"/><Relationship Id="rId13" Type="http://schemas.openxmlformats.org/officeDocument/2006/relationships/hyperlink" Target="https://hytengineering.com/compliance/policy-statement/" TargetMode="External"/><Relationship Id="rId14" Type="http://schemas.openxmlformats.org/officeDocument/2006/relationships/hyperlink" Target="https://hytengineering.com/products/" TargetMode="External"/><Relationship Id="rId15" Type="http://schemas.openxmlformats.org/officeDocument/2006/relationships/hyperlink" Target="https://hytengineering.com/surface-wheel-lathe/" TargetMode="External"/><Relationship Id="rId16" Type="http://schemas.openxmlformats.org/officeDocument/2006/relationships/hyperlink" Target="https://hytengineering.com/underfloor-wheel-lathe/" TargetMode="External"/><Relationship Id="rId17" Type="http://schemas.openxmlformats.org/officeDocument/2006/relationships/hyperlink" Target="https://hytengineering.com/underfloor-wheel-lathe-yugl/" TargetMode="External"/><Relationship Id="rId18" Type="http://schemas.openxmlformats.org/officeDocument/2006/relationships/hyperlink" Target="https://hytengineering.com/tandem-underfloor-wheel-lathe/" TargetMode="External"/><Relationship Id="rId19" Type="http://schemas.openxmlformats.org/officeDocument/2006/relationships/hyperlink" Target="https://hytengineering.com/tandem-underfloor-wheel-lathe-yuglx/" TargetMode="External"/><Relationship Id="rId20" Type="http://schemas.openxmlformats.org/officeDocument/2006/relationships/hyperlink" Target="https://hytengineering.com/portal-wheel-lathe/" TargetMode="External"/><Relationship Id="rId21" Type="http://schemas.openxmlformats.org/officeDocument/2006/relationships/hyperlink" Target="https://hytengineering.com/roller-type-portal-wheel-lathe/" TargetMode="External"/><Relationship Id="rId22" Type="http://schemas.openxmlformats.org/officeDocument/2006/relationships/hyperlink" Target="https://hytengineering.com/vertical-turning-boring-machine/" TargetMode="External"/><Relationship Id="rId23" Type="http://schemas.openxmlformats.org/officeDocument/2006/relationships/hyperlink" Target="https://hytengineering.com/axle-journal-turning-burnishing-lathe/" TargetMode="External"/><Relationship Id="rId24" Type="http://schemas.openxmlformats.org/officeDocument/2006/relationships/hyperlink" Target="https://hytengineering.com/axle-turning-lathe/" TargetMode="External"/><Relationship Id="rId25" Type="http://schemas.openxmlformats.org/officeDocument/2006/relationships/hyperlink" Target="https://hytengineering.com/wheel-presses/" TargetMode="External"/><Relationship Id="rId26" Type="http://schemas.openxmlformats.org/officeDocument/2006/relationships/hyperlink" Target="https://hytengineering.com/wheel-measuring-station/" TargetMode="External"/><Relationship Id="rId27" Type="http://schemas.openxmlformats.org/officeDocument/2006/relationships/hyperlink" Target="https://hytengineering.com/dynamic-wheel-balancing-machine/" TargetMode="External"/><Relationship Id="rId28" Type="http://schemas.openxmlformats.org/officeDocument/2006/relationships/hyperlink" Target="https://hytengineering.com/multi-purpose-armature-machine/" TargetMode="External"/><Relationship Id="rId29" Type="http://schemas.openxmlformats.org/officeDocument/2006/relationships/hyperlink" Target="https://hytengineering.com/automated-train-washing-plant/" TargetMode="External"/><Relationship Id="rId30" Type="http://schemas.openxmlformats.org/officeDocument/2006/relationships/hyperlink" Target="https://hytengineering.com/rail-cum-road-vehicle-shunter/" TargetMode="External"/><Relationship Id="rId31" Type="http://schemas.openxmlformats.org/officeDocument/2006/relationships/hyperlink" Target="https://hytengineering.com/skc-gleittechnik-gmbh-germany/" TargetMode="External"/><Relationship Id="rId32" Type="http://schemas.openxmlformats.org/officeDocument/2006/relationships/hyperlink" Target="https://hytengineering.com/turnkey-project/" TargetMode="External"/><Relationship Id="rId33" Type="http://schemas.openxmlformats.org/officeDocument/2006/relationships/hyperlink" Target="https://hytengineering.com/turnkey-project/wheel-shops/" TargetMode="External"/><Relationship Id="rId34" Type="http://schemas.openxmlformats.org/officeDocument/2006/relationships/hyperlink" Target="https://hytengineering.com/turnkey-project/railway-maintenance-depots/" TargetMode="External"/><Relationship Id="rId35" Type="http://schemas.openxmlformats.org/officeDocument/2006/relationships/hyperlink" Target="https://hytengineering.com/turnkey-project/rolling-stock-manufacturing-facilities/" TargetMode="External"/><Relationship Id="rId36" Type="http://schemas.openxmlformats.org/officeDocument/2006/relationships/hyperlink" Target="https://hytengineering.com/turnkey-project/wheelset-manufacturing-plants/" TargetMode="External"/><Relationship Id="rId37" Type="http://schemas.openxmlformats.org/officeDocument/2006/relationships/hyperlink" Target="https://hytengineering.com/turnkey-project/wheel-machining-lines/" TargetMode="External"/><Relationship Id="rId38" Type="http://schemas.openxmlformats.org/officeDocument/2006/relationships/hyperlink" Target="https://hytengineering.com/turnkey-project/axle-machining-lines/" TargetMode="External"/><Relationship Id="rId39" Type="http://schemas.openxmlformats.org/officeDocument/2006/relationships/hyperlink" Target="https://hytengineering.com/executed-projects/" TargetMode="External"/><Relationship Id="rId40" Type="http://schemas.openxmlformats.org/officeDocument/2006/relationships/hyperlink" Target="https://hytengineering.com/under-execution/" TargetMode="External"/><Relationship Id="rId41" Type="http://schemas.openxmlformats.org/officeDocument/2006/relationships/hyperlink" Target="https://hytengineering.com/services/" TargetMode="External"/><Relationship Id="rId42" Type="http://schemas.openxmlformats.org/officeDocument/2006/relationships/hyperlink" Target="https://hytengineering.com/installation-commissioning/" TargetMode="External"/><Relationship Id="rId43" Type="http://schemas.openxmlformats.org/officeDocument/2006/relationships/hyperlink" Target="https://hytengineering.com/maintenance/" TargetMode="External"/><Relationship Id="rId44" Type="http://schemas.openxmlformats.org/officeDocument/2006/relationships/hyperlink" Target="https://hytengineering.com/operation-and-maintenance/" TargetMode="External"/><Relationship Id="rId45" Type="http://schemas.openxmlformats.org/officeDocument/2006/relationships/hyperlink" Target="https://hytengineering.com/annual-maintenance-contract/" TargetMode="External"/><Relationship Id="rId46" Type="http://schemas.openxmlformats.org/officeDocument/2006/relationships/hyperlink" Target="https://hytengineering.com/comprehensive-annual-maintenance-contract/" TargetMode="External"/><Relationship Id="rId47" Type="http://schemas.openxmlformats.org/officeDocument/2006/relationships/hyperlink" Target="https://hytengineering.com/operation-contract/" TargetMode="External"/><Relationship Id="rId48" Type="http://schemas.openxmlformats.org/officeDocument/2006/relationships/hyperlink" Target="https://hytengineering.com/service-contract/" TargetMode="External"/><Relationship Id="rId49" Type="http://schemas.openxmlformats.org/officeDocument/2006/relationships/hyperlink" Target="https://hytengineering.com/spare-supply/" TargetMode="External"/><Relationship Id="rId50" Type="http://schemas.openxmlformats.org/officeDocument/2006/relationships/hyperlink" Target="https://hytengineering.com/retro-fitment-upgradation/" TargetMode="External"/><Relationship Id="rId51" Type="http://schemas.openxmlformats.org/officeDocument/2006/relationships/hyperlink" Target="https://hytengineering.com/repair/" TargetMode="External"/><Relationship Id="rId52" Type="http://schemas.openxmlformats.org/officeDocument/2006/relationships/hyperlink" Target="https://hytengineering.com/shifting/" TargetMode="External"/><Relationship Id="rId53" Type="http://schemas.openxmlformats.org/officeDocument/2006/relationships/hyperlink" Target="https://hytengineering.com/wet-leasing/" TargetMode="External"/><Relationship Id="rId54" Type="http://schemas.openxmlformats.org/officeDocument/2006/relationships/hyperlink" Target="https://hytengineering.com/training/" TargetMode="External"/><Relationship Id="rId55" Type="http://schemas.openxmlformats.org/officeDocument/2006/relationships/hyperlink" Target="https://hytengineering.com/service-centers/" TargetMode="External"/><Relationship Id="rId56" Type="http://schemas.openxmlformats.org/officeDocument/2006/relationships/hyperlink" Target="https://hytengineering.com/industries/" TargetMode="External"/><Relationship Id="rId57" Type="http://schemas.openxmlformats.org/officeDocument/2006/relationships/hyperlink" Target="https://hytengineering.com/industries/railways/" TargetMode="External"/><Relationship Id="rId58" Type="http://schemas.openxmlformats.org/officeDocument/2006/relationships/hyperlink" Target="https://hytengineering.com/industries/metros/" TargetMode="External"/><Relationship Id="rId59" Type="http://schemas.openxmlformats.org/officeDocument/2006/relationships/hyperlink" Target="https://hytengineering.com/industries/rolling-stock-manufacturers/" TargetMode="External"/><Relationship Id="rId60" Type="http://schemas.openxmlformats.org/officeDocument/2006/relationships/hyperlink" Target="https://hytengineering.com/industries/defence/" TargetMode="External"/><Relationship Id="rId61" Type="http://schemas.openxmlformats.org/officeDocument/2006/relationships/hyperlink" Target="https://hytengineering.com/industries/heavy-engineering/" TargetMode="External"/><Relationship Id="rId62" Type="http://schemas.openxmlformats.org/officeDocument/2006/relationships/hyperlink" Target="https://hytengineering.com/news/" TargetMode="External"/><Relationship Id="rId63" Type="http://schemas.openxmlformats.org/officeDocument/2006/relationships/hyperlink" Target="https://hytengineering.com/international-exhibitions/" TargetMode="External"/><Relationship Id="rId64" Type="http://schemas.openxmlformats.org/officeDocument/2006/relationships/hyperlink" Target="https://hytengineering.com/domestic-exhibitions/" TargetMode="External"/><Relationship Id="rId65" Type="http://schemas.openxmlformats.org/officeDocument/2006/relationships/hyperlink" Target="https://hytengineering.com/blog/" TargetMode="External"/><Relationship Id="rId66" Type="http://schemas.openxmlformats.org/officeDocument/2006/relationships/hyperlink" Target="https://hytengineering.com/knowledge-centre/" TargetMode="External"/><Relationship Id="rId67" Type="http://schemas.openxmlformats.org/officeDocument/2006/relationships/hyperlink" Target="https://hytengineering.com/downloads/" TargetMode="External"/><Relationship Id="rId68" Type="http://schemas.openxmlformats.org/officeDocument/2006/relationships/hyperlink" Target="https://hytengineering.com/work-with-us/" TargetMode="External"/><Relationship Id="rId69" Type="http://schemas.openxmlformats.org/officeDocument/2006/relationships/hyperlink" Target="https://hytengineering.com/career/" TargetMode="External"/><Relationship Id="rId70" Type="http://schemas.openxmlformats.org/officeDocument/2006/relationships/hyperlink" Target="https://hytengineering.com/supplier-registration/" TargetMode="External"/><Relationship Id="rId71" Type="http://schemas.openxmlformats.org/officeDocument/2006/relationships/hyperlink" Target="https://hytengineering.com/memorialization/" TargetMode="External"/><Relationship Id="rId72" Type="http://schemas.openxmlformats.org/officeDocument/2006/relationships/hyperlink" Target="https://hytengineering.com/contact-us/" TargetMode="External"/><Relationship Id="rId73" Type="http://schemas.openxmlformats.org/officeDocument/2006/relationships/hyperlink" Target="https://hytengineering.com/thank-you/" TargetMode="External"/><Relationship Id="rId74" Type="http://schemas.openxmlformats.org/officeDocument/2006/relationships/hyperlink" Target="https://hytengineering.com/privacy-policy/" TargetMode="External"/><Relationship Id="rId75" Type="http://schemas.openxmlformats.org/officeDocument/2006/relationships/hyperlink" Target="https://hytengineering.com/disclaimer/" TargetMode="External"/><Relationship Id="rId76" Type="http://schemas.openxmlformats.org/officeDocument/2006/relationships/hyperlink" Target="https://hytengineering.com/cookie-policy/" TargetMode="External"/><Relationship Id="rId77" Type="http://schemas.openxmlformats.org/officeDocument/2006/relationships/hyperlink" Target="https://hytengineering.com/sitemap/" TargetMode="External"/><Relationship Id="rId78" Type="http://schemas.openxmlformats.org/officeDocument/2006/relationships/hyperlink" Target="https://hytengineering.com/404.html" TargetMode="External"/><Relationship Id="rId7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</row>
    <row r="5" customFormat="false" ht="15" hidden="false" customHeight="false" outlineLevel="0" collapsed="false">
      <c r="A5" s="5" t="s">
        <v>5</v>
      </c>
      <c r="B5" s="6" t="n">
        <f aca="false">COUNTA('Page List'!A2:A79)</f>
        <v>78</v>
      </c>
      <c r="C5" s="5" t="s">
        <v>6</v>
      </c>
    </row>
    <row r="6" customFormat="false" ht="15" hidden="false" customHeight="false" outlineLevel="0" collapsed="false">
      <c r="A6" s="5" t="s">
        <v>7</v>
      </c>
      <c r="B6" s="6" t="n">
        <f aca="false">COUNTA(Languages!A2:A7)</f>
        <v>6</v>
      </c>
      <c r="C6" s="5" t="s">
        <v>8</v>
      </c>
    </row>
    <row r="7" customFormat="false" ht="15" hidden="false" customHeight="false" outlineLevel="0" collapsed="false">
      <c r="A7" s="5" t="s">
        <v>9</v>
      </c>
      <c r="B7" s="6" t="n">
        <f aca="false">B5*B6</f>
        <v>468</v>
      </c>
      <c r="C7" s="5" t="s">
        <v>10</v>
      </c>
    </row>
    <row r="8" customFormat="false" ht="15" hidden="false" customHeight="false" outlineLevel="0" collapsed="false">
      <c r="A8" s="5" t="s">
        <v>11</v>
      </c>
      <c r="B8" s="6" t="n">
        <f aca="false">COUNTIF('Page List'!B2:B79,"Level 1*")</f>
        <v>18</v>
      </c>
      <c r="C8" s="5"/>
    </row>
    <row r="9" customFormat="false" ht="15" hidden="false" customHeight="false" outlineLevel="0" collapsed="false">
      <c r="A9" s="5" t="s">
        <v>12</v>
      </c>
      <c r="B9" s="6" t="n">
        <f aca="false">COUNTIF('Page List'!B2:B79,"Level 2*")</f>
        <v>49</v>
      </c>
      <c r="C9" s="5"/>
    </row>
    <row r="10" customFormat="false" ht="15" hidden="false" customHeight="false" outlineLevel="0" collapsed="false">
      <c r="A10" s="5" t="s">
        <v>13</v>
      </c>
      <c r="B10" s="6" t="n">
        <f aca="false">COUNTIF('Page List'!B2:B79,"Level 3*")</f>
        <v>10</v>
      </c>
      <c r="C10" s="5"/>
    </row>
    <row r="11" customFormat="false" ht="15" hidden="false" customHeight="false" outlineLevel="0" collapsed="false">
      <c r="A11" s="5" t="s">
        <v>14</v>
      </c>
      <c r="B11" s="6" t="n">
        <f aca="false">COUNTIF('Page List'!G2:G79,"Product page")</f>
        <v>17</v>
      </c>
      <c r="C11" s="5" t="s">
        <v>15</v>
      </c>
    </row>
    <row r="12" customFormat="false" ht="15" hidden="false" customHeight="false" outlineLevel="0" collapsed="false">
      <c r="A12" s="5" t="s">
        <v>16</v>
      </c>
      <c r="B12" s="6" t="n">
        <f aca="false">COUNTIF('Page List'!G2:G79,"Content page")</f>
        <v>51</v>
      </c>
      <c r="C12" s="5"/>
    </row>
    <row r="13" customFormat="false" ht="15" hidden="false" customHeight="false" outlineLevel="0" collapsed="false">
      <c r="A13" s="5" t="s">
        <v>17</v>
      </c>
      <c r="B13" s="6" t="n">
        <f aca="false">COUNTIF('Page List'!G2:G79,"Legal page")</f>
        <v>6</v>
      </c>
      <c r="C13" s="5"/>
    </row>
    <row r="14" customFormat="false" ht="15" hidden="false" customHeight="false" outlineLevel="0" collapsed="false">
      <c r="A14" s="5" t="s">
        <v>18</v>
      </c>
      <c r="B14" s="6" t="n">
        <f aca="false">COUNTIF('Page List'!G2:G79,"Utility page")</f>
        <v>3</v>
      </c>
      <c r="C14" s="5"/>
    </row>
    <row r="15" customFormat="false" ht="15" hidden="false" customHeight="false" outlineLevel="0" collapsed="false">
      <c r="A15" s="5" t="s">
        <v>19</v>
      </c>
      <c r="B15" s="6" t="n">
        <f aca="false">COUNTIF('Page List'!J2:J79,"*form*")</f>
        <v>20</v>
      </c>
      <c r="C15" s="5" t="s">
        <v>20</v>
      </c>
    </row>
    <row r="16" customFormat="false" ht="15" hidden="false" customHeight="false" outlineLevel="0" collapsed="false">
      <c r="A16" s="5" t="s">
        <v>21</v>
      </c>
      <c r="B16" s="6" t="n">
        <f aca="false">COUNTIF('Page List'!N2:N79,"Yes")</f>
        <v>37</v>
      </c>
      <c r="C16" s="5" t="s">
        <v>22</v>
      </c>
    </row>
    <row r="17" customFormat="false" ht="15" hidden="false" customHeight="false" outlineLevel="0" collapsed="false">
      <c r="A17" s="5" t="s">
        <v>23</v>
      </c>
      <c r="B17" s="6" t="n">
        <f aca="false">COUNTA('301 Redirects'!B2:B30)*B6</f>
        <v>72</v>
      </c>
      <c r="C17" s="5" t="s">
        <v>24</v>
      </c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7" t="s">
        <v>25</v>
      </c>
      <c r="B19" s="2"/>
      <c r="C19" s="2"/>
    </row>
    <row r="20" customFormat="false" ht="15" hidden="false" customHeight="false" outlineLevel="0" collapsed="false">
      <c r="A20" s="8" t="s">
        <v>26</v>
      </c>
      <c r="B20" s="2"/>
      <c r="C20" s="2"/>
    </row>
    <row r="21" customFormat="false" ht="15" hidden="false" customHeight="false" outlineLevel="0" collapsed="false">
      <c r="A21" s="9" t="s">
        <v>27</v>
      </c>
      <c r="B21" s="2"/>
      <c r="C21" s="2"/>
    </row>
    <row r="22" customFormat="false" ht="15" hidden="false" customHeight="false" outlineLevel="0" collapsed="false">
      <c r="A22" s="10" t="s">
        <v>28</v>
      </c>
      <c r="B22" s="2"/>
      <c r="C22" s="2"/>
    </row>
    <row r="23" customFormat="false" ht="15" hidden="false" customHeight="false" outlineLevel="0" collapsed="false">
      <c r="A23" s="11" t="s">
        <v>29</v>
      </c>
      <c r="B23" s="2"/>
      <c r="C23" s="2"/>
    </row>
    <row r="24" customFormat="false" ht="15" hidden="false" customHeight="false" outlineLevel="0" collapsed="false">
      <c r="A24" s="2"/>
      <c r="B24" s="2"/>
      <c r="C24" s="2"/>
    </row>
    <row r="25" customFormat="false" ht="15" hidden="false" customHeight="false" outlineLevel="0" collapsed="false">
      <c r="A25" s="3" t="s">
        <v>30</v>
      </c>
      <c r="B25" s="2"/>
      <c r="C25" s="2"/>
    </row>
    <row r="26" customFormat="false" ht="15" hidden="false" customHeight="false" outlineLevel="0" collapsed="false">
      <c r="A26" s="3" t="s">
        <v>31</v>
      </c>
      <c r="B26" s="2"/>
      <c r="C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16"/>
    <col collapsed="false" customWidth="true" hidden="false" outlineLevel="0" max="8" min="8" style="0" width="50"/>
    <col collapsed="false" customWidth="true" hidden="false" outlineLevel="0" max="9" min="9" style="0" width="70"/>
    <col collapsed="false" customWidth="true" hidden="false" outlineLevel="0" max="10" min="10" style="0" width="46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5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12" t="s">
        <v>32</v>
      </c>
      <c r="B1" s="12" t="s">
        <v>33</v>
      </c>
      <c r="C1" s="12" t="s">
        <v>34</v>
      </c>
      <c r="D1" s="12" t="s">
        <v>35</v>
      </c>
      <c r="E1" s="12" t="s">
        <v>36</v>
      </c>
      <c r="F1" s="12" t="s">
        <v>37</v>
      </c>
      <c r="G1" s="12" t="s">
        <v>38</v>
      </c>
      <c r="H1" s="12" t="s">
        <v>39</v>
      </c>
      <c r="I1" s="12" t="s">
        <v>40</v>
      </c>
      <c r="J1" s="12" t="s">
        <v>41</v>
      </c>
      <c r="K1" s="12" t="s">
        <v>42</v>
      </c>
      <c r="L1" s="12" t="s">
        <v>43</v>
      </c>
      <c r="M1" s="12" t="s">
        <v>44</v>
      </c>
      <c r="N1" s="12" t="s">
        <v>45</v>
      </c>
      <c r="O1" s="12" t="s">
        <v>46</v>
      </c>
    </row>
    <row r="2" customFormat="false" ht="57.45" hidden="false" customHeight="false" outlineLevel="0" collapsed="false">
      <c r="A2" s="13" t="n">
        <v>1</v>
      </c>
      <c r="B2" s="14" t="s">
        <v>26</v>
      </c>
      <c r="C2" s="13" t="s">
        <v>47</v>
      </c>
      <c r="D2" s="13" t="s">
        <v>48</v>
      </c>
      <c r="E2" s="14" t="s">
        <v>47</v>
      </c>
      <c r="F2" s="15" t="s">
        <v>49</v>
      </c>
      <c r="G2" s="13" t="s">
        <v>50</v>
      </c>
      <c r="H2" s="13" t="s">
        <v>51</v>
      </c>
      <c r="I2" s="13" t="s">
        <v>52</v>
      </c>
      <c r="J2" s="13" t="s">
        <v>53</v>
      </c>
      <c r="K2" s="13" t="s">
        <v>54</v>
      </c>
      <c r="L2" s="13" t="s">
        <v>54</v>
      </c>
      <c r="M2" s="13" t="s">
        <v>55</v>
      </c>
      <c r="N2" s="13" t="s">
        <v>54</v>
      </c>
      <c r="O2" s="13"/>
    </row>
    <row r="3" customFormat="false" ht="35.05" hidden="false" customHeight="false" outlineLevel="0" collapsed="false">
      <c r="A3" s="16" t="n">
        <v>2</v>
      </c>
      <c r="B3" s="17" t="s">
        <v>27</v>
      </c>
      <c r="C3" s="16" t="s">
        <v>56</v>
      </c>
      <c r="D3" s="16" t="s">
        <v>47</v>
      </c>
      <c r="E3" s="17" t="s">
        <v>56</v>
      </c>
      <c r="F3" s="18" t="s">
        <v>57</v>
      </c>
      <c r="G3" s="16" t="s">
        <v>58</v>
      </c>
      <c r="H3" s="16" t="s">
        <v>59</v>
      </c>
      <c r="I3" s="16" t="s">
        <v>60</v>
      </c>
      <c r="J3" s="16" t="s">
        <v>61</v>
      </c>
      <c r="K3" s="16" t="s">
        <v>55</v>
      </c>
      <c r="L3" s="16" t="s">
        <v>55</v>
      </c>
      <c r="M3" s="16" t="s">
        <v>55</v>
      </c>
      <c r="N3" s="16" t="s">
        <v>54</v>
      </c>
      <c r="O3" s="16"/>
    </row>
    <row r="4" customFormat="false" ht="15" hidden="false" customHeight="false" outlineLevel="0" collapsed="false">
      <c r="A4" s="19" t="n">
        <v>3</v>
      </c>
      <c r="B4" s="19" t="s">
        <v>28</v>
      </c>
      <c r="C4" s="19" t="s">
        <v>56</v>
      </c>
      <c r="D4" s="19" t="s">
        <v>56</v>
      </c>
      <c r="E4" s="19" t="s">
        <v>62</v>
      </c>
      <c r="F4" s="20" t="s">
        <v>63</v>
      </c>
      <c r="G4" s="19" t="s">
        <v>58</v>
      </c>
      <c r="H4" s="19" t="s">
        <v>64</v>
      </c>
      <c r="I4" s="19" t="s">
        <v>65</v>
      </c>
      <c r="J4" s="19"/>
      <c r="K4" s="19" t="s">
        <v>55</v>
      </c>
      <c r="L4" s="19" t="s">
        <v>55</v>
      </c>
      <c r="M4" s="19" t="s">
        <v>55</v>
      </c>
      <c r="N4" s="19" t="s">
        <v>55</v>
      </c>
      <c r="O4" s="19"/>
    </row>
    <row r="5" customFormat="false" ht="15" hidden="false" customHeight="false" outlineLevel="0" collapsed="false">
      <c r="A5" s="19" t="n">
        <v>4</v>
      </c>
      <c r="B5" s="19" t="s">
        <v>28</v>
      </c>
      <c r="C5" s="19" t="s">
        <v>56</v>
      </c>
      <c r="D5" s="19" t="s">
        <v>56</v>
      </c>
      <c r="E5" s="19" t="s">
        <v>66</v>
      </c>
      <c r="F5" s="20" t="s">
        <v>67</v>
      </c>
      <c r="G5" s="19" t="s">
        <v>58</v>
      </c>
      <c r="H5" s="19" t="s">
        <v>68</v>
      </c>
      <c r="I5" s="19" t="s">
        <v>69</v>
      </c>
      <c r="J5" s="19" t="s">
        <v>70</v>
      </c>
      <c r="K5" s="19" t="s">
        <v>55</v>
      </c>
      <c r="L5" s="19" t="s">
        <v>55</v>
      </c>
      <c r="M5" s="19" t="s">
        <v>55</v>
      </c>
      <c r="N5" s="19" t="s">
        <v>55</v>
      </c>
      <c r="O5" s="19"/>
    </row>
    <row r="6" customFormat="false" ht="23.85" hidden="false" customHeight="false" outlineLevel="0" collapsed="false">
      <c r="A6" s="19" t="n">
        <v>5</v>
      </c>
      <c r="B6" s="19" t="s">
        <v>28</v>
      </c>
      <c r="C6" s="19" t="s">
        <v>56</v>
      </c>
      <c r="D6" s="19" t="s">
        <v>56</v>
      </c>
      <c r="E6" s="19" t="s">
        <v>71</v>
      </c>
      <c r="F6" s="20" t="s">
        <v>72</v>
      </c>
      <c r="G6" s="19" t="s">
        <v>58</v>
      </c>
      <c r="H6" s="19" t="s">
        <v>73</v>
      </c>
      <c r="I6" s="19" t="s">
        <v>74</v>
      </c>
      <c r="J6" s="19"/>
      <c r="K6" s="19" t="s">
        <v>55</v>
      </c>
      <c r="L6" s="19" t="s">
        <v>55</v>
      </c>
      <c r="M6" s="19" t="s">
        <v>55</v>
      </c>
      <c r="N6" s="19" t="s">
        <v>55</v>
      </c>
      <c r="O6" s="19"/>
    </row>
    <row r="7" customFormat="false" ht="15" hidden="false" customHeight="false" outlineLevel="0" collapsed="false">
      <c r="A7" s="21" t="n">
        <v>6</v>
      </c>
      <c r="B7" s="21" t="s">
        <v>29</v>
      </c>
      <c r="C7" s="21" t="s">
        <v>56</v>
      </c>
      <c r="D7" s="21" t="s">
        <v>75</v>
      </c>
      <c r="E7" s="21" t="s">
        <v>76</v>
      </c>
      <c r="F7" s="22" t="s">
        <v>77</v>
      </c>
      <c r="G7" s="21" t="s">
        <v>58</v>
      </c>
      <c r="H7" s="21" t="s">
        <v>78</v>
      </c>
      <c r="I7" s="21" t="s">
        <v>79</v>
      </c>
      <c r="J7" s="21"/>
      <c r="K7" s="21" t="s">
        <v>55</v>
      </c>
      <c r="L7" s="21" t="s">
        <v>54</v>
      </c>
      <c r="M7" s="21" t="s">
        <v>55</v>
      </c>
      <c r="N7" s="21" t="s">
        <v>55</v>
      </c>
      <c r="O7" s="21"/>
    </row>
    <row r="8" customFormat="false" ht="15" hidden="false" customHeight="false" outlineLevel="0" collapsed="false">
      <c r="A8" s="19" t="n">
        <v>7</v>
      </c>
      <c r="B8" s="19" t="s">
        <v>28</v>
      </c>
      <c r="C8" s="19" t="s">
        <v>56</v>
      </c>
      <c r="D8" s="19" t="s">
        <v>56</v>
      </c>
      <c r="E8" s="19" t="s">
        <v>80</v>
      </c>
      <c r="F8" s="20" t="s">
        <v>81</v>
      </c>
      <c r="G8" s="19" t="s">
        <v>58</v>
      </c>
      <c r="H8" s="19" t="s">
        <v>82</v>
      </c>
      <c r="I8" s="19" t="s">
        <v>83</v>
      </c>
      <c r="J8" s="19"/>
      <c r="K8" s="19" t="s">
        <v>55</v>
      </c>
      <c r="L8" s="19" t="s">
        <v>54</v>
      </c>
      <c r="M8" s="19" t="s">
        <v>55</v>
      </c>
      <c r="N8" s="19" t="s">
        <v>55</v>
      </c>
      <c r="O8" s="19"/>
    </row>
    <row r="9" customFormat="false" ht="15" hidden="false" customHeight="false" outlineLevel="0" collapsed="false">
      <c r="A9" s="19" t="n">
        <v>8</v>
      </c>
      <c r="B9" s="19" t="s">
        <v>28</v>
      </c>
      <c r="C9" s="19" t="s">
        <v>56</v>
      </c>
      <c r="D9" s="19" t="s">
        <v>56</v>
      </c>
      <c r="E9" s="19" t="s">
        <v>84</v>
      </c>
      <c r="F9" s="20" t="s">
        <v>85</v>
      </c>
      <c r="G9" s="19" t="s">
        <v>58</v>
      </c>
      <c r="H9" s="19" t="s">
        <v>86</v>
      </c>
      <c r="I9" s="19" t="s">
        <v>87</v>
      </c>
      <c r="J9" s="19"/>
      <c r="K9" s="19" t="s">
        <v>55</v>
      </c>
      <c r="L9" s="19" t="s">
        <v>55</v>
      </c>
      <c r="M9" s="19" t="s">
        <v>55</v>
      </c>
      <c r="N9" s="19" t="s">
        <v>55</v>
      </c>
      <c r="O9" s="19"/>
    </row>
    <row r="10" customFormat="false" ht="23.85" hidden="false" customHeight="false" outlineLevel="0" collapsed="false">
      <c r="A10" s="19" t="n">
        <v>9</v>
      </c>
      <c r="B10" s="19" t="s">
        <v>28</v>
      </c>
      <c r="C10" s="19" t="s">
        <v>56</v>
      </c>
      <c r="D10" s="19" t="s">
        <v>56</v>
      </c>
      <c r="E10" s="19" t="s">
        <v>88</v>
      </c>
      <c r="F10" s="20" t="s">
        <v>89</v>
      </c>
      <c r="G10" s="19" t="s">
        <v>58</v>
      </c>
      <c r="H10" s="19" t="s">
        <v>90</v>
      </c>
      <c r="I10" s="19" t="s">
        <v>91</v>
      </c>
      <c r="J10" s="19"/>
      <c r="K10" s="19" t="s">
        <v>55</v>
      </c>
      <c r="L10" s="19" t="s">
        <v>55</v>
      </c>
      <c r="M10" s="19" t="s">
        <v>55</v>
      </c>
      <c r="N10" s="19" t="s">
        <v>55</v>
      </c>
      <c r="O10" s="19"/>
    </row>
    <row r="11" customFormat="false" ht="15" hidden="false" customHeight="false" outlineLevel="0" collapsed="false">
      <c r="A11" s="19" t="n">
        <v>10</v>
      </c>
      <c r="B11" s="19" t="s">
        <v>28</v>
      </c>
      <c r="C11" s="19" t="s">
        <v>56</v>
      </c>
      <c r="D11" s="19" t="s">
        <v>56</v>
      </c>
      <c r="E11" s="19" t="s">
        <v>92</v>
      </c>
      <c r="F11" s="20" t="s">
        <v>93</v>
      </c>
      <c r="G11" s="19" t="s">
        <v>58</v>
      </c>
      <c r="H11" s="19" t="s">
        <v>94</v>
      </c>
      <c r="I11" s="19" t="s">
        <v>95</v>
      </c>
      <c r="J11" s="19"/>
      <c r="K11" s="19" t="s">
        <v>55</v>
      </c>
      <c r="L11" s="19" t="s">
        <v>55</v>
      </c>
      <c r="M11" s="19" t="s">
        <v>55</v>
      </c>
      <c r="N11" s="19" t="s">
        <v>55</v>
      </c>
      <c r="O11" s="19"/>
    </row>
    <row r="12" customFormat="false" ht="15" hidden="false" customHeight="false" outlineLevel="0" collapsed="false">
      <c r="A12" s="21" t="n">
        <v>11</v>
      </c>
      <c r="B12" s="21" t="s">
        <v>29</v>
      </c>
      <c r="C12" s="21" t="s">
        <v>56</v>
      </c>
      <c r="D12" s="21" t="s">
        <v>94</v>
      </c>
      <c r="E12" s="21" t="s">
        <v>96</v>
      </c>
      <c r="F12" s="22" t="s">
        <v>97</v>
      </c>
      <c r="G12" s="21" t="s">
        <v>98</v>
      </c>
      <c r="H12" s="21" t="s">
        <v>99</v>
      </c>
      <c r="I12" s="21"/>
      <c r="J12" s="21"/>
      <c r="K12" s="21" t="s">
        <v>54</v>
      </c>
      <c r="L12" s="21" t="s">
        <v>54</v>
      </c>
      <c r="M12" s="21" t="s">
        <v>55</v>
      </c>
      <c r="N12" s="21" t="s">
        <v>55</v>
      </c>
      <c r="O12" s="21"/>
    </row>
    <row r="13" customFormat="false" ht="15" hidden="false" customHeight="false" outlineLevel="0" collapsed="false">
      <c r="A13" s="21" t="n">
        <v>12</v>
      </c>
      <c r="B13" s="21" t="s">
        <v>29</v>
      </c>
      <c r="C13" s="21" t="s">
        <v>56</v>
      </c>
      <c r="D13" s="21" t="s">
        <v>94</v>
      </c>
      <c r="E13" s="21" t="s">
        <v>100</v>
      </c>
      <c r="F13" s="22" t="s">
        <v>101</v>
      </c>
      <c r="G13" s="21" t="s">
        <v>98</v>
      </c>
      <c r="H13" s="21" t="s">
        <v>102</v>
      </c>
      <c r="I13" s="21"/>
      <c r="J13" s="21"/>
      <c r="K13" s="21" t="s">
        <v>54</v>
      </c>
      <c r="L13" s="21" t="s">
        <v>54</v>
      </c>
      <c r="M13" s="21" t="s">
        <v>55</v>
      </c>
      <c r="N13" s="21" t="s">
        <v>55</v>
      </c>
      <c r="O13" s="21"/>
    </row>
    <row r="14" customFormat="false" ht="15" hidden="false" customHeight="false" outlineLevel="0" collapsed="false">
      <c r="A14" s="21" t="n">
        <v>13</v>
      </c>
      <c r="B14" s="21" t="s">
        <v>29</v>
      </c>
      <c r="C14" s="21" t="s">
        <v>56</v>
      </c>
      <c r="D14" s="21" t="s">
        <v>94</v>
      </c>
      <c r="E14" s="21" t="s">
        <v>103</v>
      </c>
      <c r="F14" s="22" t="s">
        <v>104</v>
      </c>
      <c r="G14" s="21" t="s">
        <v>98</v>
      </c>
      <c r="H14" s="21" t="s">
        <v>105</v>
      </c>
      <c r="I14" s="21"/>
      <c r="J14" s="21"/>
      <c r="K14" s="21" t="s">
        <v>54</v>
      </c>
      <c r="L14" s="21" t="s">
        <v>54</v>
      </c>
      <c r="M14" s="21" t="s">
        <v>55</v>
      </c>
      <c r="N14" s="21" t="s">
        <v>55</v>
      </c>
      <c r="O14" s="21"/>
    </row>
    <row r="15" customFormat="false" ht="23.85" hidden="false" customHeight="false" outlineLevel="0" collapsed="false">
      <c r="A15" s="16" t="n">
        <v>14</v>
      </c>
      <c r="B15" s="17" t="s">
        <v>27</v>
      </c>
      <c r="C15" s="16" t="s">
        <v>106</v>
      </c>
      <c r="D15" s="16" t="s">
        <v>47</v>
      </c>
      <c r="E15" s="17" t="s">
        <v>106</v>
      </c>
      <c r="F15" s="18" t="s">
        <v>107</v>
      </c>
      <c r="G15" s="16" t="s">
        <v>58</v>
      </c>
      <c r="H15" s="16" t="s">
        <v>108</v>
      </c>
      <c r="I15" s="16" t="s">
        <v>109</v>
      </c>
      <c r="J15" s="16" t="s">
        <v>110</v>
      </c>
      <c r="K15" s="16" t="s">
        <v>55</v>
      </c>
      <c r="L15" s="16" t="s">
        <v>55</v>
      </c>
      <c r="M15" s="16" t="s">
        <v>55</v>
      </c>
      <c r="N15" s="16" t="s">
        <v>54</v>
      </c>
      <c r="O15" s="16"/>
    </row>
    <row r="16" customFormat="false" ht="46.25" hidden="false" customHeight="false" outlineLevel="0" collapsed="false">
      <c r="A16" s="19" t="n">
        <v>15</v>
      </c>
      <c r="B16" s="19" t="s">
        <v>28</v>
      </c>
      <c r="C16" s="19" t="s">
        <v>106</v>
      </c>
      <c r="D16" s="19" t="s">
        <v>106</v>
      </c>
      <c r="E16" s="19" t="s">
        <v>111</v>
      </c>
      <c r="F16" s="20" t="s">
        <v>112</v>
      </c>
      <c r="G16" s="19" t="s">
        <v>113</v>
      </c>
      <c r="H16" s="19" t="s">
        <v>114</v>
      </c>
      <c r="I16" s="19" t="s">
        <v>115</v>
      </c>
      <c r="J16" s="19" t="s">
        <v>116</v>
      </c>
      <c r="K16" s="19" t="s">
        <v>55</v>
      </c>
      <c r="L16" s="19" t="s">
        <v>55</v>
      </c>
      <c r="M16" s="19" t="s">
        <v>55</v>
      </c>
      <c r="N16" s="19" t="s">
        <v>55</v>
      </c>
      <c r="O16" s="19"/>
    </row>
    <row r="17" customFormat="false" ht="46.25" hidden="false" customHeight="false" outlineLevel="0" collapsed="false">
      <c r="A17" s="19" t="n">
        <v>16</v>
      </c>
      <c r="B17" s="19" t="s">
        <v>28</v>
      </c>
      <c r="C17" s="19" t="s">
        <v>106</v>
      </c>
      <c r="D17" s="19" t="s">
        <v>106</v>
      </c>
      <c r="E17" s="19" t="s">
        <v>117</v>
      </c>
      <c r="F17" s="20" t="s">
        <v>118</v>
      </c>
      <c r="G17" s="19" t="s">
        <v>113</v>
      </c>
      <c r="H17" s="19" t="s">
        <v>119</v>
      </c>
      <c r="I17" s="19" t="s">
        <v>120</v>
      </c>
      <c r="J17" s="19" t="s">
        <v>116</v>
      </c>
      <c r="K17" s="19" t="s">
        <v>55</v>
      </c>
      <c r="L17" s="19" t="s">
        <v>55</v>
      </c>
      <c r="M17" s="19" t="s">
        <v>55</v>
      </c>
      <c r="N17" s="19" t="s">
        <v>54</v>
      </c>
      <c r="O17" s="19"/>
    </row>
    <row r="18" customFormat="false" ht="46.25" hidden="false" customHeight="false" outlineLevel="0" collapsed="false">
      <c r="A18" s="19" t="n">
        <v>17</v>
      </c>
      <c r="B18" s="19" t="s">
        <v>28</v>
      </c>
      <c r="C18" s="19" t="s">
        <v>106</v>
      </c>
      <c r="D18" s="19" t="s">
        <v>106</v>
      </c>
      <c r="E18" s="19" t="s">
        <v>121</v>
      </c>
      <c r="F18" s="20" t="s">
        <v>122</v>
      </c>
      <c r="G18" s="19" t="s">
        <v>113</v>
      </c>
      <c r="H18" s="19" t="s">
        <v>123</v>
      </c>
      <c r="I18" s="19" t="s">
        <v>124</v>
      </c>
      <c r="J18" s="19" t="s">
        <v>116</v>
      </c>
      <c r="K18" s="19" t="s">
        <v>55</v>
      </c>
      <c r="L18" s="19" t="s">
        <v>54</v>
      </c>
      <c r="M18" s="19" t="s">
        <v>55</v>
      </c>
      <c r="N18" s="19" t="s">
        <v>55</v>
      </c>
      <c r="O18" s="19"/>
    </row>
    <row r="19" customFormat="false" ht="46.25" hidden="false" customHeight="false" outlineLevel="0" collapsed="false">
      <c r="A19" s="19" t="n">
        <v>18</v>
      </c>
      <c r="B19" s="19" t="s">
        <v>28</v>
      </c>
      <c r="C19" s="19" t="s">
        <v>106</v>
      </c>
      <c r="D19" s="19" t="s">
        <v>106</v>
      </c>
      <c r="E19" s="19" t="s">
        <v>125</v>
      </c>
      <c r="F19" s="20" t="s">
        <v>126</v>
      </c>
      <c r="G19" s="19" t="s">
        <v>113</v>
      </c>
      <c r="H19" s="19" t="s">
        <v>127</v>
      </c>
      <c r="I19" s="19" t="s">
        <v>128</v>
      </c>
      <c r="J19" s="19" t="s">
        <v>116</v>
      </c>
      <c r="K19" s="19" t="s">
        <v>55</v>
      </c>
      <c r="L19" s="19" t="s">
        <v>55</v>
      </c>
      <c r="M19" s="19" t="s">
        <v>55</v>
      </c>
      <c r="N19" s="19" t="s">
        <v>54</v>
      </c>
      <c r="O19" s="19"/>
    </row>
    <row r="20" customFormat="false" ht="46.25" hidden="false" customHeight="false" outlineLevel="0" collapsed="false">
      <c r="A20" s="19" t="n">
        <v>19</v>
      </c>
      <c r="B20" s="19" t="s">
        <v>28</v>
      </c>
      <c r="C20" s="19" t="s">
        <v>106</v>
      </c>
      <c r="D20" s="19" t="s">
        <v>106</v>
      </c>
      <c r="E20" s="19" t="s">
        <v>129</v>
      </c>
      <c r="F20" s="20" t="s">
        <v>130</v>
      </c>
      <c r="G20" s="19" t="s">
        <v>113</v>
      </c>
      <c r="H20" s="19" t="s">
        <v>131</v>
      </c>
      <c r="I20" s="19" t="s">
        <v>132</v>
      </c>
      <c r="J20" s="19" t="s">
        <v>116</v>
      </c>
      <c r="K20" s="19" t="s">
        <v>55</v>
      </c>
      <c r="L20" s="19" t="s">
        <v>54</v>
      </c>
      <c r="M20" s="19" t="s">
        <v>55</v>
      </c>
      <c r="N20" s="19" t="s">
        <v>55</v>
      </c>
      <c r="O20" s="19"/>
    </row>
    <row r="21" customFormat="false" ht="46.25" hidden="false" customHeight="false" outlineLevel="0" collapsed="false">
      <c r="A21" s="19" t="n">
        <v>20</v>
      </c>
      <c r="B21" s="19" t="s">
        <v>28</v>
      </c>
      <c r="C21" s="19" t="s">
        <v>106</v>
      </c>
      <c r="D21" s="19" t="s">
        <v>106</v>
      </c>
      <c r="E21" s="19" t="s">
        <v>133</v>
      </c>
      <c r="F21" s="20" t="s">
        <v>134</v>
      </c>
      <c r="G21" s="19" t="s">
        <v>113</v>
      </c>
      <c r="H21" s="19" t="s">
        <v>135</v>
      </c>
      <c r="I21" s="19" t="s">
        <v>136</v>
      </c>
      <c r="J21" s="19" t="s">
        <v>116</v>
      </c>
      <c r="K21" s="19" t="s">
        <v>55</v>
      </c>
      <c r="L21" s="19" t="s">
        <v>55</v>
      </c>
      <c r="M21" s="19" t="s">
        <v>55</v>
      </c>
      <c r="N21" s="19" t="s">
        <v>54</v>
      </c>
      <c r="O21" s="19"/>
    </row>
    <row r="22" customFormat="false" ht="35.05" hidden="false" customHeight="false" outlineLevel="0" collapsed="false">
      <c r="A22" s="19" t="n">
        <v>21</v>
      </c>
      <c r="B22" s="19" t="s">
        <v>28</v>
      </c>
      <c r="C22" s="19" t="s">
        <v>106</v>
      </c>
      <c r="D22" s="19" t="s">
        <v>106</v>
      </c>
      <c r="E22" s="19" t="s">
        <v>137</v>
      </c>
      <c r="F22" s="20" t="s">
        <v>138</v>
      </c>
      <c r="G22" s="19" t="s">
        <v>113</v>
      </c>
      <c r="H22" s="19" t="s">
        <v>139</v>
      </c>
      <c r="I22" s="19" t="s">
        <v>140</v>
      </c>
      <c r="J22" s="19" t="s">
        <v>116</v>
      </c>
      <c r="K22" s="19" t="s">
        <v>55</v>
      </c>
      <c r="L22" s="19" t="s">
        <v>54</v>
      </c>
      <c r="M22" s="19" t="s">
        <v>55</v>
      </c>
      <c r="N22" s="19" t="s">
        <v>55</v>
      </c>
      <c r="O22" s="19"/>
    </row>
    <row r="23" customFormat="false" ht="35.05" hidden="false" customHeight="false" outlineLevel="0" collapsed="false">
      <c r="A23" s="19" t="n">
        <v>22</v>
      </c>
      <c r="B23" s="19" t="s">
        <v>28</v>
      </c>
      <c r="C23" s="19" t="s">
        <v>106</v>
      </c>
      <c r="D23" s="19" t="s">
        <v>106</v>
      </c>
      <c r="E23" s="19" t="s">
        <v>141</v>
      </c>
      <c r="F23" s="20" t="s">
        <v>142</v>
      </c>
      <c r="G23" s="19" t="s">
        <v>113</v>
      </c>
      <c r="H23" s="19" t="s">
        <v>143</v>
      </c>
      <c r="I23" s="19" t="s">
        <v>144</v>
      </c>
      <c r="J23" s="19" t="s">
        <v>116</v>
      </c>
      <c r="K23" s="19" t="s">
        <v>55</v>
      </c>
      <c r="L23" s="19" t="s">
        <v>55</v>
      </c>
      <c r="M23" s="19" t="s">
        <v>55</v>
      </c>
      <c r="N23" s="19" t="s">
        <v>54</v>
      </c>
      <c r="O23" s="19"/>
    </row>
    <row r="24" customFormat="false" ht="46.25" hidden="false" customHeight="false" outlineLevel="0" collapsed="false">
      <c r="A24" s="19" t="n">
        <v>23</v>
      </c>
      <c r="B24" s="19" t="s">
        <v>28</v>
      </c>
      <c r="C24" s="19" t="s">
        <v>106</v>
      </c>
      <c r="D24" s="19" t="s">
        <v>106</v>
      </c>
      <c r="E24" s="19" t="s">
        <v>145</v>
      </c>
      <c r="F24" s="20" t="s">
        <v>146</v>
      </c>
      <c r="G24" s="19" t="s">
        <v>113</v>
      </c>
      <c r="H24" s="19" t="s">
        <v>147</v>
      </c>
      <c r="I24" s="19" t="s">
        <v>148</v>
      </c>
      <c r="J24" s="19" t="s">
        <v>116</v>
      </c>
      <c r="K24" s="19" t="s">
        <v>55</v>
      </c>
      <c r="L24" s="19" t="s">
        <v>54</v>
      </c>
      <c r="M24" s="19" t="s">
        <v>55</v>
      </c>
      <c r="N24" s="19" t="s">
        <v>54</v>
      </c>
      <c r="O24" s="19"/>
    </row>
    <row r="25" customFormat="false" ht="35.05" hidden="false" customHeight="false" outlineLevel="0" collapsed="false">
      <c r="A25" s="19" t="n">
        <v>24</v>
      </c>
      <c r="B25" s="19" t="s">
        <v>28</v>
      </c>
      <c r="C25" s="19" t="s">
        <v>106</v>
      </c>
      <c r="D25" s="19" t="s">
        <v>106</v>
      </c>
      <c r="E25" s="19" t="s">
        <v>149</v>
      </c>
      <c r="F25" s="20" t="s">
        <v>150</v>
      </c>
      <c r="G25" s="19" t="s">
        <v>113</v>
      </c>
      <c r="H25" s="19" t="s">
        <v>151</v>
      </c>
      <c r="I25" s="19" t="s">
        <v>152</v>
      </c>
      <c r="J25" s="19" t="s">
        <v>116</v>
      </c>
      <c r="K25" s="19" t="s">
        <v>55</v>
      </c>
      <c r="L25" s="19" t="s">
        <v>54</v>
      </c>
      <c r="M25" s="19" t="s">
        <v>55</v>
      </c>
      <c r="N25" s="19" t="s">
        <v>54</v>
      </c>
      <c r="O25" s="19"/>
    </row>
    <row r="26" customFormat="false" ht="46.25" hidden="false" customHeight="false" outlineLevel="0" collapsed="false">
      <c r="A26" s="19" t="n">
        <v>25</v>
      </c>
      <c r="B26" s="19" t="s">
        <v>28</v>
      </c>
      <c r="C26" s="19" t="s">
        <v>106</v>
      </c>
      <c r="D26" s="19" t="s">
        <v>106</v>
      </c>
      <c r="E26" s="19" t="s">
        <v>153</v>
      </c>
      <c r="F26" s="20" t="s">
        <v>154</v>
      </c>
      <c r="G26" s="19" t="s">
        <v>113</v>
      </c>
      <c r="H26" s="19" t="s">
        <v>155</v>
      </c>
      <c r="I26" s="19" t="s">
        <v>156</v>
      </c>
      <c r="J26" s="19" t="s">
        <v>116</v>
      </c>
      <c r="K26" s="19" t="s">
        <v>55</v>
      </c>
      <c r="L26" s="19" t="s">
        <v>54</v>
      </c>
      <c r="M26" s="19" t="s">
        <v>55</v>
      </c>
      <c r="N26" s="19" t="s">
        <v>54</v>
      </c>
      <c r="O26" s="19"/>
    </row>
    <row r="27" customFormat="false" ht="46.25" hidden="false" customHeight="false" outlineLevel="0" collapsed="false">
      <c r="A27" s="19" t="n">
        <v>26</v>
      </c>
      <c r="B27" s="19" t="s">
        <v>28</v>
      </c>
      <c r="C27" s="19" t="s">
        <v>106</v>
      </c>
      <c r="D27" s="19" t="s">
        <v>106</v>
      </c>
      <c r="E27" s="19" t="s">
        <v>157</v>
      </c>
      <c r="F27" s="20" t="s">
        <v>158</v>
      </c>
      <c r="G27" s="19" t="s">
        <v>113</v>
      </c>
      <c r="H27" s="19" t="s">
        <v>159</v>
      </c>
      <c r="I27" s="19" t="s">
        <v>160</v>
      </c>
      <c r="J27" s="19" t="s">
        <v>116</v>
      </c>
      <c r="K27" s="19" t="s">
        <v>55</v>
      </c>
      <c r="L27" s="19" t="s">
        <v>54</v>
      </c>
      <c r="M27" s="19" t="s">
        <v>55</v>
      </c>
      <c r="N27" s="19" t="s">
        <v>54</v>
      </c>
      <c r="O27" s="19"/>
    </row>
    <row r="28" customFormat="false" ht="35.05" hidden="false" customHeight="false" outlineLevel="0" collapsed="false">
      <c r="A28" s="19" t="n">
        <v>27</v>
      </c>
      <c r="B28" s="19" t="s">
        <v>28</v>
      </c>
      <c r="C28" s="19" t="s">
        <v>106</v>
      </c>
      <c r="D28" s="19" t="s">
        <v>106</v>
      </c>
      <c r="E28" s="19" t="s">
        <v>161</v>
      </c>
      <c r="F28" s="20" t="s">
        <v>162</v>
      </c>
      <c r="G28" s="19" t="s">
        <v>113</v>
      </c>
      <c r="H28" s="19" t="s">
        <v>163</v>
      </c>
      <c r="I28" s="19" t="s">
        <v>164</v>
      </c>
      <c r="J28" s="19" t="s">
        <v>116</v>
      </c>
      <c r="K28" s="19" t="s">
        <v>55</v>
      </c>
      <c r="L28" s="19" t="s">
        <v>54</v>
      </c>
      <c r="M28" s="19" t="s">
        <v>55</v>
      </c>
      <c r="N28" s="19" t="s">
        <v>54</v>
      </c>
      <c r="O28" s="19"/>
    </row>
    <row r="29" customFormat="false" ht="46.25" hidden="false" customHeight="false" outlineLevel="0" collapsed="false">
      <c r="A29" s="19" t="n">
        <v>28</v>
      </c>
      <c r="B29" s="19" t="s">
        <v>28</v>
      </c>
      <c r="C29" s="19" t="s">
        <v>106</v>
      </c>
      <c r="D29" s="19" t="s">
        <v>106</v>
      </c>
      <c r="E29" s="19" t="s">
        <v>165</v>
      </c>
      <c r="F29" s="20" t="s">
        <v>166</v>
      </c>
      <c r="G29" s="19" t="s">
        <v>113</v>
      </c>
      <c r="H29" s="19" t="s">
        <v>167</v>
      </c>
      <c r="I29" s="19" t="s">
        <v>168</v>
      </c>
      <c r="J29" s="19" t="s">
        <v>116</v>
      </c>
      <c r="K29" s="19" t="s">
        <v>55</v>
      </c>
      <c r="L29" s="19" t="s">
        <v>54</v>
      </c>
      <c r="M29" s="19" t="s">
        <v>55</v>
      </c>
      <c r="N29" s="19" t="s">
        <v>54</v>
      </c>
      <c r="O29" s="19"/>
    </row>
    <row r="30" customFormat="false" ht="46.25" hidden="false" customHeight="false" outlineLevel="0" collapsed="false">
      <c r="A30" s="19" t="n">
        <v>29</v>
      </c>
      <c r="B30" s="19" t="s">
        <v>28</v>
      </c>
      <c r="C30" s="19" t="s">
        <v>106</v>
      </c>
      <c r="D30" s="19" t="s">
        <v>106</v>
      </c>
      <c r="E30" s="19" t="s">
        <v>169</v>
      </c>
      <c r="F30" s="20" t="s">
        <v>170</v>
      </c>
      <c r="G30" s="19" t="s">
        <v>113</v>
      </c>
      <c r="H30" s="19" t="s">
        <v>171</v>
      </c>
      <c r="I30" s="19" t="s">
        <v>172</v>
      </c>
      <c r="J30" s="19" t="s">
        <v>116</v>
      </c>
      <c r="K30" s="19" t="s">
        <v>55</v>
      </c>
      <c r="L30" s="19" t="s">
        <v>54</v>
      </c>
      <c r="M30" s="19" t="s">
        <v>55</v>
      </c>
      <c r="N30" s="19" t="s">
        <v>54</v>
      </c>
      <c r="O30" s="19"/>
    </row>
    <row r="31" customFormat="false" ht="35.05" hidden="false" customHeight="false" outlineLevel="0" collapsed="false">
      <c r="A31" s="19" t="n">
        <v>30</v>
      </c>
      <c r="B31" s="19" t="s">
        <v>28</v>
      </c>
      <c r="C31" s="19" t="s">
        <v>106</v>
      </c>
      <c r="D31" s="19" t="s">
        <v>106</v>
      </c>
      <c r="E31" s="19" t="s">
        <v>173</v>
      </c>
      <c r="F31" s="20" t="s">
        <v>174</v>
      </c>
      <c r="G31" s="19" t="s">
        <v>113</v>
      </c>
      <c r="H31" s="19" t="s">
        <v>175</v>
      </c>
      <c r="I31" s="19" t="s">
        <v>176</v>
      </c>
      <c r="J31" s="19" t="s">
        <v>116</v>
      </c>
      <c r="K31" s="19" t="s">
        <v>55</v>
      </c>
      <c r="L31" s="19" t="s">
        <v>54</v>
      </c>
      <c r="M31" s="19" t="s">
        <v>55</v>
      </c>
      <c r="N31" s="19" t="s">
        <v>54</v>
      </c>
      <c r="O31" s="19"/>
    </row>
    <row r="32" customFormat="false" ht="46.25" hidden="false" customHeight="false" outlineLevel="0" collapsed="false">
      <c r="A32" s="19" t="n">
        <v>31</v>
      </c>
      <c r="B32" s="19" t="s">
        <v>28</v>
      </c>
      <c r="C32" s="19" t="s">
        <v>106</v>
      </c>
      <c r="D32" s="19" t="s">
        <v>106</v>
      </c>
      <c r="E32" s="19" t="s">
        <v>177</v>
      </c>
      <c r="F32" s="20" t="s">
        <v>178</v>
      </c>
      <c r="G32" s="19" t="s">
        <v>113</v>
      </c>
      <c r="H32" s="19" t="s">
        <v>179</v>
      </c>
      <c r="I32" s="19" t="s">
        <v>180</v>
      </c>
      <c r="J32" s="19" t="s">
        <v>116</v>
      </c>
      <c r="K32" s="19" t="s">
        <v>55</v>
      </c>
      <c r="L32" s="19" t="s">
        <v>54</v>
      </c>
      <c r="M32" s="19" t="s">
        <v>55</v>
      </c>
      <c r="N32" s="19" t="s">
        <v>55</v>
      </c>
      <c r="O32" s="19"/>
    </row>
    <row r="33" customFormat="false" ht="35.05" hidden="false" customHeight="false" outlineLevel="0" collapsed="false">
      <c r="A33" s="16" t="n">
        <v>32</v>
      </c>
      <c r="B33" s="17" t="s">
        <v>27</v>
      </c>
      <c r="C33" s="16" t="s">
        <v>181</v>
      </c>
      <c r="D33" s="16" t="s">
        <v>47</v>
      </c>
      <c r="E33" s="17" t="s">
        <v>181</v>
      </c>
      <c r="F33" s="18" t="s">
        <v>182</v>
      </c>
      <c r="G33" s="16" t="s">
        <v>58</v>
      </c>
      <c r="H33" s="16" t="s">
        <v>183</v>
      </c>
      <c r="I33" s="16" t="s">
        <v>184</v>
      </c>
      <c r="J33" s="16"/>
      <c r="K33" s="16" t="s">
        <v>55</v>
      </c>
      <c r="L33" s="16" t="s">
        <v>55</v>
      </c>
      <c r="M33" s="16" t="s">
        <v>55</v>
      </c>
      <c r="N33" s="16" t="s">
        <v>54</v>
      </c>
      <c r="O33" s="16"/>
    </row>
    <row r="34" customFormat="false" ht="68.65" hidden="false" customHeight="false" outlineLevel="0" collapsed="false">
      <c r="A34" s="19" t="n">
        <v>33</v>
      </c>
      <c r="B34" s="19" t="s">
        <v>28</v>
      </c>
      <c r="C34" s="19" t="s">
        <v>181</v>
      </c>
      <c r="D34" s="19" t="s">
        <v>181</v>
      </c>
      <c r="E34" s="19" t="s">
        <v>185</v>
      </c>
      <c r="F34" s="20" t="s">
        <v>186</v>
      </c>
      <c r="G34" s="19" t="s">
        <v>58</v>
      </c>
      <c r="H34" s="19" t="s">
        <v>187</v>
      </c>
      <c r="I34" s="19" t="s">
        <v>188</v>
      </c>
      <c r="J34" s="19" t="s">
        <v>189</v>
      </c>
      <c r="K34" s="19" t="s">
        <v>55</v>
      </c>
      <c r="L34" s="19" t="s">
        <v>54</v>
      </c>
      <c r="M34" s="19" t="s">
        <v>55</v>
      </c>
      <c r="N34" s="19" t="s">
        <v>55</v>
      </c>
      <c r="O34" s="19"/>
    </row>
    <row r="35" customFormat="false" ht="35.05" hidden="false" customHeight="false" outlineLevel="0" collapsed="false">
      <c r="A35" s="19" t="n">
        <v>34</v>
      </c>
      <c r="B35" s="19" t="s">
        <v>28</v>
      </c>
      <c r="C35" s="19" t="s">
        <v>181</v>
      </c>
      <c r="D35" s="19" t="s">
        <v>181</v>
      </c>
      <c r="E35" s="19" t="s">
        <v>190</v>
      </c>
      <c r="F35" s="20" t="s">
        <v>191</v>
      </c>
      <c r="G35" s="19" t="s">
        <v>58</v>
      </c>
      <c r="H35" s="19" t="s">
        <v>192</v>
      </c>
      <c r="I35" s="19" t="s">
        <v>193</v>
      </c>
      <c r="J35" s="19" t="s">
        <v>194</v>
      </c>
      <c r="K35" s="19" t="s">
        <v>55</v>
      </c>
      <c r="L35" s="19" t="s">
        <v>54</v>
      </c>
      <c r="M35" s="19" t="s">
        <v>55</v>
      </c>
      <c r="N35" s="19" t="s">
        <v>54</v>
      </c>
      <c r="O35" s="19"/>
    </row>
    <row r="36" customFormat="false" ht="35.05" hidden="false" customHeight="false" outlineLevel="0" collapsed="false">
      <c r="A36" s="19" t="n">
        <v>35</v>
      </c>
      <c r="B36" s="19" t="s">
        <v>28</v>
      </c>
      <c r="C36" s="19" t="s">
        <v>181</v>
      </c>
      <c r="D36" s="19" t="s">
        <v>181</v>
      </c>
      <c r="E36" s="19" t="s">
        <v>195</v>
      </c>
      <c r="F36" s="20" t="s">
        <v>196</v>
      </c>
      <c r="G36" s="19" t="s">
        <v>58</v>
      </c>
      <c r="H36" s="19" t="s">
        <v>197</v>
      </c>
      <c r="I36" s="19" t="s">
        <v>198</v>
      </c>
      <c r="J36" s="19" t="s">
        <v>194</v>
      </c>
      <c r="K36" s="19" t="s">
        <v>55</v>
      </c>
      <c r="L36" s="19" t="s">
        <v>54</v>
      </c>
      <c r="M36" s="19" t="s">
        <v>55</v>
      </c>
      <c r="N36" s="19" t="s">
        <v>55</v>
      </c>
      <c r="O36" s="19"/>
    </row>
    <row r="37" customFormat="false" ht="35.05" hidden="false" customHeight="false" outlineLevel="0" collapsed="false">
      <c r="A37" s="19" t="n">
        <v>36</v>
      </c>
      <c r="B37" s="19" t="s">
        <v>28</v>
      </c>
      <c r="C37" s="19" t="s">
        <v>181</v>
      </c>
      <c r="D37" s="19" t="s">
        <v>181</v>
      </c>
      <c r="E37" s="19" t="s">
        <v>199</v>
      </c>
      <c r="F37" s="20" t="s">
        <v>200</v>
      </c>
      <c r="G37" s="19" t="s">
        <v>58</v>
      </c>
      <c r="H37" s="19" t="s">
        <v>201</v>
      </c>
      <c r="I37" s="19" t="s">
        <v>202</v>
      </c>
      <c r="J37" s="19" t="s">
        <v>194</v>
      </c>
      <c r="K37" s="19" t="s">
        <v>55</v>
      </c>
      <c r="L37" s="19" t="s">
        <v>54</v>
      </c>
      <c r="M37" s="19" t="s">
        <v>55</v>
      </c>
      <c r="N37" s="19" t="s">
        <v>55</v>
      </c>
      <c r="O37" s="19"/>
    </row>
    <row r="38" customFormat="false" ht="35.05" hidden="false" customHeight="false" outlineLevel="0" collapsed="false">
      <c r="A38" s="19" t="n">
        <v>37</v>
      </c>
      <c r="B38" s="19" t="s">
        <v>28</v>
      </c>
      <c r="C38" s="19" t="s">
        <v>181</v>
      </c>
      <c r="D38" s="19" t="s">
        <v>181</v>
      </c>
      <c r="E38" s="19" t="s">
        <v>203</v>
      </c>
      <c r="F38" s="20" t="s">
        <v>204</v>
      </c>
      <c r="G38" s="19" t="s">
        <v>58</v>
      </c>
      <c r="H38" s="19" t="s">
        <v>205</v>
      </c>
      <c r="I38" s="19" t="s">
        <v>206</v>
      </c>
      <c r="J38" s="19" t="s">
        <v>194</v>
      </c>
      <c r="K38" s="19" t="s">
        <v>55</v>
      </c>
      <c r="L38" s="19" t="s">
        <v>54</v>
      </c>
      <c r="M38" s="19" t="s">
        <v>55</v>
      </c>
      <c r="N38" s="19" t="s">
        <v>55</v>
      </c>
      <c r="O38" s="19"/>
    </row>
    <row r="39" customFormat="false" ht="35.05" hidden="false" customHeight="false" outlineLevel="0" collapsed="false">
      <c r="A39" s="19" t="n">
        <v>38</v>
      </c>
      <c r="B39" s="19" t="s">
        <v>28</v>
      </c>
      <c r="C39" s="19" t="s">
        <v>181</v>
      </c>
      <c r="D39" s="19" t="s">
        <v>181</v>
      </c>
      <c r="E39" s="19" t="s">
        <v>207</v>
      </c>
      <c r="F39" s="20" t="s">
        <v>208</v>
      </c>
      <c r="G39" s="19" t="s">
        <v>58</v>
      </c>
      <c r="H39" s="19" t="s">
        <v>209</v>
      </c>
      <c r="I39" s="19" t="s">
        <v>210</v>
      </c>
      <c r="J39" s="19" t="s">
        <v>194</v>
      </c>
      <c r="K39" s="19" t="s">
        <v>55</v>
      </c>
      <c r="L39" s="19" t="s">
        <v>54</v>
      </c>
      <c r="M39" s="19" t="s">
        <v>55</v>
      </c>
      <c r="N39" s="19" t="s">
        <v>55</v>
      </c>
      <c r="O39" s="19"/>
    </row>
    <row r="40" customFormat="false" ht="15" hidden="false" customHeight="false" outlineLevel="0" collapsed="false">
      <c r="A40" s="19" t="n">
        <v>39</v>
      </c>
      <c r="B40" s="19" t="s">
        <v>28</v>
      </c>
      <c r="C40" s="19" t="s">
        <v>181</v>
      </c>
      <c r="D40" s="19" t="s">
        <v>181</v>
      </c>
      <c r="E40" s="19" t="s">
        <v>211</v>
      </c>
      <c r="F40" s="20" t="s">
        <v>212</v>
      </c>
      <c r="G40" s="19" t="s">
        <v>58</v>
      </c>
      <c r="H40" s="19" t="s">
        <v>213</v>
      </c>
      <c r="I40" s="19" t="s">
        <v>214</v>
      </c>
      <c r="J40" s="19" t="s">
        <v>215</v>
      </c>
      <c r="K40" s="19" t="s">
        <v>55</v>
      </c>
      <c r="L40" s="19" t="s">
        <v>54</v>
      </c>
      <c r="M40" s="19" t="s">
        <v>55</v>
      </c>
      <c r="N40" s="19" t="s">
        <v>55</v>
      </c>
      <c r="O40" s="19"/>
    </row>
    <row r="41" customFormat="false" ht="15" hidden="false" customHeight="false" outlineLevel="0" collapsed="false">
      <c r="A41" s="19" t="n">
        <v>40</v>
      </c>
      <c r="B41" s="19" t="s">
        <v>28</v>
      </c>
      <c r="C41" s="19" t="s">
        <v>181</v>
      </c>
      <c r="D41" s="19" t="s">
        <v>181</v>
      </c>
      <c r="E41" s="19" t="s">
        <v>216</v>
      </c>
      <c r="F41" s="20" t="s">
        <v>217</v>
      </c>
      <c r="G41" s="19" t="s">
        <v>58</v>
      </c>
      <c r="H41" s="19" t="s">
        <v>218</v>
      </c>
      <c r="I41" s="19" t="s">
        <v>219</v>
      </c>
      <c r="J41" s="19" t="s">
        <v>215</v>
      </c>
      <c r="K41" s="19" t="s">
        <v>55</v>
      </c>
      <c r="L41" s="19" t="s">
        <v>54</v>
      </c>
      <c r="M41" s="19" t="s">
        <v>55</v>
      </c>
      <c r="N41" s="19" t="s">
        <v>55</v>
      </c>
      <c r="O41" s="19"/>
    </row>
    <row r="42" customFormat="false" ht="35.05" hidden="false" customHeight="false" outlineLevel="0" collapsed="false">
      <c r="A42" s="16" t="n">
        <v>41</v>
      </c>
      <c r="B42" s="17" t="s">
        <v>27</v>
      </c>
      <c r="C42" s="16" t="s">
        <v>220</v>
      </c>
      <c r="D42" s="16" t="s">
        <v>47</v>
      </c>
      <c r="E42" s="17" t="s">
        <v>220</v>
      </c>
      <c r="F42" s="18" t="s">
        <v>221</v>
      </c>
      <c r="G42" s="16" t="s">
        <v>58</v>
      </c>
      <c r="H42" s="16" t="s">
        <v>222</v>
      </c>
      <c r="I42" s="16" t="s">
        <v>223</v>
      </c>
      <c r="J42" s="16"/>
      <c r="K42" s="16" t="s">
        <v>55</v>
      </c>
      <c r="L42" s="16" t="s">
        <v>55</v>
      </c>
      <c r="M42" s="16" t="s">
        <v>55</v>
      </c>
      <c r="N42" s="16" t="s">
        <v>54</v>
      </c>
      <c r="O42" s="16"/>
    </row>
    <row r="43" customFormat="false" ht="35.05" hidden="false" customHeight="false" outlineLevel="0" collapsed="false">
      <c r="A43" s="19" t="n">
        <v>42</v>
      </c>
      <c r="B43" s="19" t="s">
        <v>28</v>
      </c>
      <c r="C43" s="19" t="s">
        <v>220</v>
      </c>
      <c r="D43" s="19" t="s">
        <v>220</v>
      </c>
      <c r="E43" s="19" t="s">
        <v>224</v>
      </c>
      <c r="F43" s="20" t="s">
        <v>225</v>
      </c>
      <c r="G43" s="19" t="s">
        <v>58</v>
      </c>
      <c r="H43" s="19" t="s">
        <v>226</v>
      </c>
      <c r="I43" s="19" t="s">
        <v>227</v>
      </c>
      <c r="J43" s="19" t="s">
        <v>194</v>
      </c>
      <c r="K43" s="19" t="s">
        <v>55</v>
      </c>
      <c r="L43" s="19" t="s">
        <v>55</v>
      </c>
      <c r="M43" s="19" t="s">
        <v>55</v>
      </c>
      <c r="N43" s="19" t="s">
        <v>54</v>
      </c>
      <c r="O43" s="19"/>
    </row>
    <row r="44" customFormat="false" ht="23.85" hidden="false" customHeight="false" outlineLevel="0" collapsed="false">
      <c r="A44" s="19" t="n">
        <v>43</v>
      </c>
      <c r="B44" s="19" t="s">
        <v>28</v>
      </c>
      <c r="C44" s="19" t="s">
        <v>220</v>
      </c>
      <c r="D44" s="19" t="s">
        <v>220</v>
      </c>
      <c r="E44" s="19" t="s">
        <v>228</v>
      </c>
      <c r="F44" s="20" t="s">
        <v>229</v>
      </c>
      <c r="G44" s="19" t="s">
        <v>58</v>
      </c>
      <c r="H44" s="19" t="s">
        <v>230</v>
      </c>
      <c r="I44" s="19" t="s">
        <v>231</v>
      </c>
      <c r="J44" s="19" t="s">
        <v>194</v>
      </c>
      <c r="K44" s="19" t="s">
        <v>55</v>
      </c>
      <c r="L44" s="19" t="s">
        <v>54</v>
      </c>
      <c r="M44" s="19" t="s">
        <v>55</v>
      </c>
      <c r="N44" s="19" t="s">
        <v>54</v>
      </c>
      <c r="O44" s="19"/>
    </row>
    <row r="45" customFormat="false" ht="35.05" hidden="false" customHeight="false" outlineLevel="0" collapsed="false">
      <c r="A45" s="21" t="n">
        <v>44</v>
      </c>
      <c r="B45" s="21" t="s">
        <v>29</v>
      </c>
      <c r="C45" s="21" t="s">
        <v>220</v>
      </c>
      <c r="D45" s="21" t="s">
        <v>232</v>
      </c>
      <c r="E45" s="21" t="s">
        <v>233</v>
      </c>
      <c r="F45" s="22" t="s">
        <v>234</v>
      </c>
      <c r="G45" s="21" t="s">
        <v>58</v>
      </c>
      <c r="H45" s="21" t="s">
        <v>235</v>
      </c>
      <c r="I45" s="21" t="s">
        <v>236</v>
      </c>
      <c r="J45" s="21" t="s">
        <v>194</v>
      </c>
      <c r="K45" s="21" t="s">
        <v>55</v>
      </c>
      <c r="L45" s="21" t="s">
        <v>54</v>
      </c>
      <c r="M45" s="21" t="s">
        <v>55</v>
      </c>
      <c r="N45" s="21" t="s">
        <v>54</v>
      </c>
      <c r="O45" s="21"/>
    </row>
    <row r="46" customFormat="false" ht="23.85" hidden="false" customHeight="false" outlineLevel="0" collapsed="false">
      <c r="A46" s="21" t="n">
        <v>45</v>
      </c>
      <c r="B46" s="21" t="s">
        <v>29</v>
      </c>
      <c r="C46" s="21" t="s">
        <v>220</v>
      </c>
      <c r="D46" s="21" t="s">
        <v>232</v>
      </c>
      <c r="E46" s="21" t="s">
        <v>237</v>
      </c>
      <c r="F46" s="22" t="s">
        <v>238</v>
      </c>
      <c r="G46" s="21" t="s">
        <v>58</v>
      </c>
      <c r="H46" s="21" t="s">
        <v>239</v>
      </c>
      <c r="I46" s="21" t="s">
        <v>240</v>
      </c>
      <c r="J46" s="21" t="s">
        <v>194</v>
      </c>
      <c r="K46" s="21" t="s">
        <v>55</v>
      </c>
      <c r="L46" s="21" t="s">
        <v>55</v>
      </c>
      <c r="M46" s="21" t="s">
        <v>55</v>
      </c>
      <c r="N46" s="21" t="s">
        <v>54</v>
      </c>
      <c r="O46" s="21"/>
    </row>
    <row r="47" customFormat="false" ht="23.85" hidden="false" customHeight="false" outlineLevel="0" collapsed="false">
      <c r="A47" s="21" t="n">
        <v>46</v>
      </c>
      <c r="B47" s="21" t="s">
        <v>29</v>
      </c>
      <c r="C47" s="21" t="s">
        <v>220</v>
      </c>
      <c r="D47" s="21" t="s">
        <v>232</v>
      </c>
      <c r="E47" s="21" t="s">
        <v>241</v>
      </c>
      <c r="F47" s="22" t="s">
        <v>242</v>
      </c>
      <c r="G47" s="21" t="s">
        <v>58</v>
      </c>
      <c r="H47" s="21" t="s">
        <v>243</v>
      </c>
      <c r="I47" s="21" t="s">
        <v>244</v>
      </c>
      <c r="J47" s="21" t="s">
        <v>194</v>
      </c>
      <c r="K47" s="21" t="s">
        <v>55</v>
      </c>
      <c r="L47" s="21" t="s">
        <v>54</v>
      </c>
      <c r="M47" s="21" t="s">
        <v>55</v>
      </c>
      <c r="N47" s="21" t="s">
        <v>54</v>
      </c>
      <c r="O47" s="21"/>
    </row>
    <row r="48" customFormat="false" ht="23.85" hidden="false" customHeight="false" outlineLevel="0" collapsed="false">
      <c r="A48" s="21" t="n">
        <v>47</v>
      </c>
      <c r="B48" s="21" t="s">
        <v>29</v>
      </c>
      <c r="C48" s="21" t="s">
        <v>220</v>
      </c>
      <c r="D48" s="21" t="s">
        <v>232</v>
      </c>
      <c r="E48" s="21" t="s">
        <v>245</v>
      </c>
      <c r="F48" s="22" t="s">
        <v>246</v>
      </c>
      <c r="G48" s="21" t="s">
        <v>58</v>
      </c>
      <c r="H48" s="21" t="s">
        <v>247</v>
      </c>
      <c r="I48" s="21" t="s">
        <v>248</v>
      </c>
      <c r="J48" s="21" t="s">
        <v>194</v>
      </c>
      <c r="K48" s="21" t="s">
        <v>55</v>
      </c>
      <c r="L48" s="21" t="s">
        <v>54</v>
      </c>
      <c r="M48" s="21" t="s">
        <v>55</v>
      </c>
      <c r="N48" s="21" t="s">
        <v>55</v>
      </c>
      <c r="O48" s="21"/>
    </row>
    <row r="49" customFormat="false" ht="23.85" hidden="false" customHeight="false" outlineLevel="0" collapsed="false">
      <c r="A49" s="21" t="n">
        <v>48</v>
      </c>
      <c r="B49" s="21" t="s">
        <v>29</v>
      </c>
      <c r="C49" s="21" t="s">
        <v>220</v>
      </c>
      <c r="D49" s="21" t="s">
        <v>232</v>
      </c>
      <c r="E49" s="21" t="s">
        <v>249</v>
      </c>
      <c r="F49" s="22" t="s">
        <v>250</v>
      </c>
      <c r="G49" s="21" t="s">
        <v>58</v>
      </c>
      <c r="H49" s="21" t="s">
        <v>251</v>
      </c>
      <c r="I49" s="21" t="s">
        <v>252</v>
      </c>
      <c r="J49" s="21" t="s">
        <v>194</v>
      </c>
      <c r="K49" s="21" t="s">
        <v>55</v>
      </c>
      <c r="L49" s="21" t="s">
        <v>54</v>
      </c>
      <c r="M49" s="21" t="s">
        <v>55</v>
      </c>
      <c r="N49" s="21" t="s">
        <v>55</v>
      </c>
      <c r="O49" s="21"/>
    </row>
    <row r="50" customFormat="false" ht="35.05" hidden="false" customHeight="false" outlineLevel="0" collapsed="false">
      <c r="A50" s="21" t="n">
        <v>49</v>
      </c>
      <c r="B50" s="21" t="s">
        <v>29</v>
      </c>
      <c r="C50" s="21" t="s">
        <v>220</v>
      </c>
      <c r="D50" s="21" t="s">
        <v>232</v>
      </c>
      <c r="E50" s="21" t="s">
        <v>253</v>
      </c>
      <c r="F50" s="22" t="s">
        <v>254</v>
      </c>
      <c r="G50" s="21" t="s">
        <v>58</v>
      </c>
      <c r="H50" s="21" t="s">
        <v>255</v>
      </c>
      <c r="I50" s="21" t="s">
        <v>256</v>
      </c>
      <c r="J50" s="21" t="s">
        <v>194</v>
      </c>
      <c r="K50" s="21" t="s">
        <v>55</v>
      </c>
      <c r="L50" s="21" t="s">
        <v>55</v>
      </c>
      <c r="M50" s="21" t="s">
        <v>55</v>
      </c>
      <c r="N50" s="21" t="s">
        <v>54</v>
      </c>
      <c r="O50" s="21"/>
    </row>
    <row r="51" customFormat="false" ht="35.05" hidden="false" customHeight="false" outlineLevel="0" collapsed="false">
      <c r="A51" s="19" t="n">
        <v>50</v>
      </c>
      <c r="B51" s="19" t="s">
        <v>28</v>
      </c>
      <c r="C51" s="19" t="s">
        <v>220</v>
      </c>
      <c r="D51" s="19" t="s">
        <v>220</v>
      </c>
      <c r="E51" s="19" t="s">
        <v>257</v>
      </c>
      <c r="F51" s="20" t="s">
        <v>258</v>
      </c>
      <c r="G51" s="19" t="s">
        <v>58</v>
      </c>
      <c r="H51" s="19" t="s">
        <v>259</v>
      </c>
      <c r="I51" s="19" t="s">
        <v>260</v>
      </c>
      <c r="J51" s="19" t="s">
        <v>194</v>
      </c>
      <c r="K51" s="19" t="s">
        <v>55</v>
      </c>
      <c r="L51" s="19" t="s">
        <v>55</v>
      </c>
      <c r="M51" s="19" t="s">
        <v>55</v>
      </c>
      <c r="N51" s="19" t="s">
        <v>54</v>
      </c>
      <c r="O51" s="19"/>
    </row>
    <row r="52" customFormat="false" ht="23.85" hidden="false" customHeight="false" outlineLevel="0" collapsed="false">
      <c r="A52" s="19" t="n">
        <v>51</v>
      </c>
      <c r="B52" s="19" t="s">
        <v>28</v>
      </c>
      <c r="C52" s="19" t="s">
        <v>220</v>
      </c>
      <c r="D52" s="19" t="s">
        <v>220</v>
      </c>
      <c r="E52" s="19" t="s">
        <v>261</v>
      </c>
      <c r="F52" s="20" t="s">
        <v>262</v>
      </c>
      <c r="G52" s="19" t="s">
        <v>58</v>
      </c>
      <c r="H52" s="19" t="s">
        <v>263</v>
      </c>
      <c r="I52" s="19" t="s">
        <v>264</v>
      </c>
      <c r="J52" s="19" t="s">
        <v>194</v>
      </c>
      <c r="K52" s="19" t="s">
        <v>55</v>
      </c>
      <c r="L52" s="19" t="s">
        <v>54</v>
      </c>
      <c r="M52" s="19" t="s">
        <v>55</v>
      </c>
      <c r="N52" s="19" t="s">
        <v>54</v>
      </c>
      <c r="O52" s="19"/>
    </row>
    <row r="53" customFormat="false" ht="23.85" hidden="false" customHeight="false" outlineLevel="0" collapsed="false">
      <c r="A53" s="19" t="n">
        <v>52</v>
      </c>
      <c r="B53" s="19" t="s">
        <v>28</v>
      </c>
      <c r="C53" s="19" t="s">
        <v>220</v>
      </c>
      <c r="D53" s="19" t="s">
        <v>220</v>
      </c>
      <c r="E53" s="19" t="s">
        <v>265</v>
      </c>
      <c r="F53" s="20" t="s">
        <v>266</v>
      </c>
      <c r="G53" s="19" t="s">
        <v>58</v>
      </c>
      <c r="H53" s="19" t="s">
        <v>267</v>
      </c>
      <c r="I53" s="19" t="s">
        <v>268</v>
      </c>
      <c r="J53" s="19" t="s">
        <v>194</v>
      </c>
      <c r="K53" s="19" t="s">
        <v>55</v>
      </c>
      <c r="L53" s="19" t="s">
        <v>54</v>
      </c>
      <c r="M53" s="19" t="s">
        <v>55</v>
      </c>
      <c r="N53" s="19" t="s">
        <v>54</v>
      </c>
      <c r="O53" s="19"/>
    </row>
    <row r="54" customFormat="false" ht="35.05" hidden="false" customHeight="false" outlineLevel="0" collapsed="false">
      <c r="A54" s="19" t="n">
        <v>53</v>
      </c>
      <c r="B54" s="19" t="s">
        <v>28</v>
      </c>
      <c r="C54" s="19" t="s">
        <v>220</v>
      </c>
      <c r="D54" s="19" t="s">
        <v>220</v>
      </c>
      <c r="E54" s="19" t="s">
        <v>269</v>
      </c>
      <c r="F54" s="20" t="s">
        <v>270</v>
      </c>
      <c r="G54" s="19" t="s">
        <v>58</v>
      </c>
      <c r="H54" s="19" t="s">
        <v>271</v>
      </c>
      <c r="I54" s="19" t="s">
        <v>272</v>
      </c>
      <c r="J54" s="19" t="s">
        <v>194</v>
      </c>
      <c r="K54" s="19" t="s">
        <v>55</v>
      </c>
      <c r="L54" s="19" t="s">
        <v>55</v>
      </c>
      <c r="M54" s="19" t="s">
        <v>55</v>
      </c>
      <c r="N54" s="19" t="s">
        <v>54</v>
      </c>
      <c r="O54" s="19"/>
    </row>
    <row r="55" customFormat="false" ht="35.05" hidden="false" customHeight="false" outlineLevel="0" collapsed="false">
      <c r="A55" s="19" t="n">
        <v>54</v>
      </c>
      <c r="B55" s="19" t="s">
        <v>28</v>
      </c>
      <c r="C55" s="19" t="s">
        <v>220</v>
      </c>
      <c r="D55" s="19" t="s">
        <v>220</v>
      </c>
      <c r="E55" s="19" t="s">
        <v>273</v>
      </c>
      <c r="F55" s="20" t="s">
        <v>274</v>
      </c>
      <c r="G55" s="19" t="s">
        <v>58</v>
      </c>
      <c r="H55" s="19" t="s">
        <v>275</v>
      </c>
      <c r="I55" s="19" t="s">
        <v>276</v>
      </c>
      <c r="J55" s="19" t="s">
        <v>194</v>
      </c>
      <c r="K55" s="19" t="s">
        <v>55</v>
      </c>
      <c r="L55" s="19" t="s">
        <v>55</v>
      </c>
      <c r="M55" s="19" t="s">
        <v>55</v>
      </c>
      <c r="N55" s="19" t="s">
        <v>54</v>
      </c>
      <c r="O55" s="19"/>
    </row>
    <row r="56" customFormat="false" ht="23.85" hidden="false" customHeight="false" outlineLevel="0" collapsed="false">
      <c r="A56" s="19" t="n">
        <v>55</v>
      </c>
      <c r="B56" s="19" t="s">
        <v>28</v>
      </c>
      <c r="C56" s="19" t="s">
        <v>220</v>
      </c>
      <c r="D56" s="19" t="s">
        <v>220</v>
      </c>
      <c r="E56" s="19" t="s">
        <v>277</v>
      </c>
      <c r="F56" s="20" t="s">
        <v>278</v>
      </c>
      <c r="G56" s="19" t="s">
        <v>58</v>
      </c>
      <c r="H56" s="19" t="s">
        <v>279</v>
      </c>
      <c r="I56" s="19" t="s">
        <v>280</v>
      </c>
      <c r="J56" s="19" t="s">
        <v>281</v>
      </c>
      <c r="K56" s="19" t="s">
        <v>55</v>
      </c>
      <c r="L56" s="19" t="s">
        <v>55</v>
      </c>
      <c r="M56" s="19" t="s">
        <v>55</v>
      </c>
      <c r="N56" s="19" t="s">
        <v>55</v>
      </c>
      <c r="O56" s="19"/>
    </row>
    <row r="57" customFormat="false" ht="35.05" hidden="false" customHeight="false" outlineLevel="0" collapsed="false">
      <c r="A57" s="16" t="n">
        <v>56</v>
      </c>
      <c r="B57" s="17" t="s">
        <v>27</v>
      </c>
      <c r="C57" s="16" t="s">
        <v>282</v>
      </c>
      <c r="D57" s="16" t="s">
        <v>47</v>
      </c>
      <c r="E57" s="17" t="s">
        <v>282</v>
      </c>
      <c r="F57" s="18" t="s">
        <v>283</v>
      </c>
      <c r="G57" s="16" t="s">
        <v>58</v>
      </c>
      <c r="H57" s="16" t="s">
        <v>284</v>
      </c>
      <c r="I57" s="16" t="s">
        <v>285</v>
      </c>
      <c r="J57" s="16"/>
      <c r="K57" s="16" t="s">
        <v>55</v>
      </c>
      <c r="L57" s="16" t="s">
        <v>55</v>
      </c>
      <c r="M57" s="16" t="s">
        <v>55</v>
      </c>
      <c r="N57" s="16" t="s">
        <v>54</v>
      </c>
      <c r="O57" s="16"/>
    </row>
    <row r="58" customFormat="false" ht="35.05" hidden="false" customHeight="false" outlineLevel="0" collapsed="false">
      <c r="A58" s="19" t="n">
        <v>57</v>
      </c>
      <c r="B58" s="19" t="s">
        <v>28</v>
      </c>
      <c r="C58" s="19" t="s">
        <v>282</v>
      </c>
      <c r="D58" s="19" t="s">
        <v>282</v>
      </c>
      <c r="E58" s="19" t="s">
        <v>286</v>
      </c>
      <c r="F58" s="20" t="s">
        <v>287</v>
      </c>
      <c r="G58" s="19" t="s">
        <v>58</v>
      </c>
      <c r="H58" s="19" t="s">
        <v>288</v>
      </c>
      <c r="I58" s="19" t="s">
        <v>289</v>
      </c>
      <c r="J58" s="19" t="s">
        <v>194</v>
      </c>
      <c r="K58" s="19" t="s">
        <v>55</v>
      </c>
      <c r="L58" s="19" t="s">
        <v>54</v>
      </c>
      <c r="M58" s="19" t="s">
        <v>55</v>
      </c>
      <c r="N58" s="19" t="s">
        <v>54</v>
      </c>
      <c r="O58" s="19"/>
    </row>
    <row r="59" customFormat="false" ht="35.05" hidden="false" customHeight="false" outlineLevel="0" collapsed="false">
      <c r="A59" s="19" t="n">
        <v>58</v>
      </c>
      <c r="B59" s="19" t="s">
        <v>28</v>
      </c>
      <c r="C59" s="19" t="s">
        <v>282</v>
      </c>
      <c r="D59" s="19" t="s">
        <v>282</v>
      </c>
      <c r="E59" s="19" t="s">
        <v>290</v>
      </c>
      <c r="F59" s="20" t="s">
        <v>291</v>
      </c>
      <c r="G59" s="19" t="s">
        <v>58</v>
      </c>
      <c r="H59" s="19" t="s">
        <v>292</v>
      </c>
      <c r="I59" s="19" t="s">
        <v>293</v>
      </c>
      <c r="J59" s="19" t="s">
        <v>194</v>
      </c>
      <c r="K59" s="19" t="s">
        <v>55</v>
      </c>
      <c r="L59" s="19" t="s">
        <v>54</v>
      </c>
      <c r="M59" s="19" t="s">
        <v>55</v>
      </c>
      <c r="N59" s="19" t="s">
        <v>54</v>
      </c>
      <c r="O59" s="19"/>
    </row>
    <row r="60" customFormat="false" ht="35.05" hidden="false" customHeight="false" outlineLevel="0" collapsed="false">
      <c r="A60" s="19" t="n">
        <v>59</v>
      </c>
      <c r="B60" s="19" t="s">
        <v>28</v>
      </c>
      <c r="C60" s="19" t="s">
        <v>282</v>
      </c>
      <c r="D60" s="19" t="s">
        <v>282</v>
      </c>
      <c r="E60" s="19" t="s">
        <v>294</v>
      </c>
      <c r="F60" s="20" t="s">
        <v>295</v>
      </c>
      <c r="G60" s="19" t="s">
        <v>58</v>
      </c>
      <c r="H60" s="19" t="s">
        <v>296</v>
      </c>
      <c r="I60" s="19" t="s">
        <v>297</v>
      </c>
      <c r="J60" s="19" t="s">
        <v>194</v>
      </c>
      <c r="K60" s="19" t="s">
        <v>55</v>
      </c>
      <c r="L60" s="19" t="s">
        <v>54</v>
      </c>
      <c r="M60" s="19" t="s">
        <v>55</v>
      </c>
      <c r="N60" s="19" t="s">
        <v>54</v>
      </c>
      <c r="O60" s="19"/>
    </row>
    <row r="61" customFormat="false" ht="35.05" hidden="false" customHeight="false" outlineLevel="0" collapsed="false">
      <c r="A61" s="19" t="n">
        <v>60</v>
      </c>
      <c r="B61" s="19" t="s">
        <v>28</v>
      </c>
      <c r="C61" s="19" t="s">
        <v>282</v>
      </c>
      <c r="D61" s="19" t="s">
        <v>282</v>
      </c>
      <c r="E61" s="19" t="s">
        <v>298</v>
      </c>
      <c r="F61" s="20" t="s">
        <v>299</v>
      </c>
      <c r="G61" s="19" t="s">
        <v>58</v>
      </c>
      <c r="H61" s="19" t="s">
        <v>300</v>
      </c>
      <c r="I61" s="19" t="s">
        <v>301</v>
      </c>
      <c r="J61" s="19" t="s">
        <v>194</v>
      </c>
      <c r="K61" s="19" t="s">
        <v>55</v>
      </c>
      <c r="L61" s="19" t="s">
        <v>54</v>
      </c>
      <c r="M61" s="19" t="s">
        <v>55</v>
      </c>
      <c r="N61" s="19" t="s">
        <v>55</v>
      </c>
      <c r="O61" s="19"/>
    </row>
    <row r="62" customFormat="false" ht="35.05" hidden="false" customHeight="false" outlineLevel="0" collapsed="false">
      <c r="A62" s="19" t="n">
        <v>61</v>
      </c>
      <c r="B62" s="19" t="s">
        <v>28</v>
      </c>
      <c r="C62" s="19" t="s">
        <v>282</v>
      </c>
      <c r="D62" s="19" t="s">
        <v>282</v>
      </c>
      <c r="E62" s="19" t="s">
        <v>302</v>
      </c>
      <c r="F62" s="20" t="s">
        <v>303</v>
      </c>
      <c r="G62" s="19" t="s">
        <v>58</v>
      </c>
      <c r="H62" s="19" t="s">
        <v>304</v>
      </c>
      <c r="I62" s="19" t="s">
        <v>305</v>
      </c>
      <c r="J62" s="19" t="s">
        <v>194</v>
      </c>
      <c r="K62" s="19" t="s">
        <v>55</v>
      </c>
      <c r="L62" s="19" t="s">
        <v>54</v>
      </c>
      <c r="M62" s="19" t="s">
        <v>55</v>
      </c>
      <c r="N62" s="19" t="s">
        <v>55</v>
      </c>
      <c r="O62" s="19"/>
    </row>
    <row r="63" customFormat="false" ht="15" hidden="false" customHeight="false" outlineLevel="0" collapsed="false">
      <c r="A63" s="16" t="n">
        <v>62</v>
      </c>
      <c r="B63" s="17" t="s">
        <v>27</v>
      </c>
      <c r="C63" s="16" t="s">
        <v>306</v>
      </c>
      <c r="D63" s="16" t="s">
        <v>47</v>
      </c>
      <c r="E63" s="17" t="s">
        <v>307</v>
      </c>
      <c r="F63" s="18" t="s">
        <v>308</v>
      </c>
      <c r="G63" s="16" t="s">
        <v>58</v>
      </c>
      <c r="H63" s="16" t="s">
        <v>309</v>
      </c>
      <c r="I63" s="16" t="s">
        <v>310</v>
      </c>
      <c r="J63" s="16" t="s">
        <v>311</v>
      </c>
      <c r="K63" s="16" t="s">
        <v>55</v>
      </c>
      <c r="L63" s="16" t="s">
        <v>55</v>
      </c>
      <c r="M63" s="16" t="s">
        <v>55</v>
      </c>
      <c r="N63" s="16" t="s">
        <v>55</v>
      </c>
      <c r="O63" s="16"/>
    </row>
    <row r="64" customFormat="false" ht="23.85" hidden="false" customHeight="false" outlineLevel="0" collapsed="false">
      <c r="A64" s="16" t="n">
        <v>63</v>
      </c>
      <c r="B64" s="17" t="s">
        <v>27</v>
      </c>
      <c r="C64" s="16" t="s">
        <v>306</v>
      </c>
      <c r="D64" s="16" t="s">
        <v>47</v>
      </c>
      <c r="E64" s="17" t="s">
        <v>312</v>
      </c>
      <c r="F64" s="18" t="s">
        <v>313</v>
      </c>
      <c r="G64" s="16" t="s">
        <v>58</v>
      </c>
      <c r="H64" s="16" t="s">
        <v>314</v>
      </c>
      <c r="I64" s="16" t="s">
        <v>315</v>
      </c>
      <c r="J64" s="16" t="s">
        <v>316</v>
      </c>
      <c r="K64" s="16" t="s">
        <v>55</v>
      </c>
      <c r="L64" s="16" t="s">
        <v>54</v>
      </c>
      <c r="M64" s="16" t="s">
        <v>55</v>
      </c>
      <c r="N64" s="16" t="s">
        <v>55</v>
      </c>
      <c r="O64" s="16"/>
    </row>
    <row r="65" customFormat="false" ht="23.85" hidden="false" customHeight="false" outlineLevel="0" collapsed="false">
      <c r="A65" s="16" t="n">
        <v>64</v>
      </c>
      <c r="B65" s="17" t="s">
        <v>27</v>
      </c>
      <c r="C65" s="16" t="s">
        <v>306</v>
      </c>
      <c r="D65" s="16" t="s">
        <v>47</v>
      </c>
      <c r="E65" s="17" t="s">
        <v>317</v>
      </c>
      <c r="F65" s="18" t="s">
        <v>318</v>
      </c>
      <c r="G65" s="16" t="s">
        <v>58</v>
      </c>
      <c r="H65" s="16" t="s">
        <v>319</v>
      </c>
      <c r="I65" s="16" t="s">
        <v>320</v>
      </c>
      <c r="J65" s="16"/>
      <c r="K65" s="16" t="s">
        <v>55</v>
      </c>
      <c r="L65" s="16" t="s">
        <v>54</v>
      </c>
      <c r="M65" s="16" t="s">
        <v>55</v>
      </c>
      <c r="N65" s="16" t="s">
        <v>55</v>
      </c>
      <c r="O65" s="16"/>
    </row>
    <row r="66" customFormat="false" ht="15" hidden="false" customHeight="false" outlineLevel="0" collapsed="false">
      <c r="A66" s="16" t="n">
        <v>65</v>
      </c>
      <c r="B66" s="17" t="s">
        <v>27</v>
      </c>
      <c r="C66" s="16" t="s">
        <v>306</v>
      </c>
      <c r="D66" s="16" t="s">
        <v>47</v>
      </c>
      <c r="E66" s="17" t="s">
        <v>321</v>
      </c>
      <c r="F66" s="18" t="s">
        <v>322</v>
      </c>
      <c r="G66" s="16" t="s">
        <v>58</v>
      </c>
      <c r="H66" s="16" t="s">
        <v>323</v>
      </c>
      <c r="I66" s="16" t="s">
        <v>324</v>
      </c>
      <c r="J66" s="16"/>
      <c r="K66" s="16" t="s">
        <v>55</v>
      </c>
      <c r="L66" s="16" t="s">
        <v>55</v>
      </c>
      <c r="M66" s="16" t="s">
        <v>55</v>
      </c>
      <c r="N66" s="16" t="s">
        <v>55</v>
      </c>
      <c r="O66" s="16"/>
    </row>
    <row r="67" customFormat="false" ht="46.25" hidden="false" customHeight="false" outlineLevel="0" collapsed="false">
      <c r="A67" s="16" t="n">
        <v>66</v>
      </c>
      <c r="B67" s="17" t="s">
        <v>27</v>
      </c>
      <c r="C67" s="16" t="s">
        <v>306</v>
      </c>
      <c r="D67" s="16" t="s">
        <v>47</v>
      </c>
      <c r="E67" s="17" t="s">
        <v>325</v>
      </c>
      <c r="F67" s="18" t="s">
        <v>326</v>
      </c>
      <c r="G67" s="16" t="s">
        <v>58</v>
      </c>
      <c r="H67" s="16" t="s">
        <v>327</v>
      </c>
      <c r="I67" s="16" t="s">
        <v>328</v>
      </c>
      <c r="J67" s="16" t="s">
        <v>194</v>
      </c>
      <c r="K67" s="16" t="s">
        <v>55</v>
      </c>
      <c r="L67" s="16" t="s">
        <v>55</v>
      </c>
      <c r="M67" s="16" t="s">
        <v>55</v>
      </c>
      <c r="N67" s="16" t="s">
        <v>54</v>
      </c>
      <c r="O67" s="16"/>
    </row>
    <row r="68" customFormat="false" ht="15" hidden="false" customHeight="false" outlineLevel="0" collapsed="false">
      <c r="A68" s="16" t="n">
        <v>67</v>
      </c>
      <c r="B68" s="17" t="s">
        <v>27</v>
      </c>
      <c r="C68" s="16" t="s">
        <v>306</v>
      </c>
      <c r="D68" s="16" t="s">
        <v>47</v>
      </c>
      <c r="E68" s="17" t="s">
        <v>329</v>
      </c>
      <c r="F68" s="18" t="s">
        <v>330</v>
      </c>
      <c r="G68" s="16" t="s">
        <v>58</v>
      </c>
      <c r="H68" s="16" t="s">
        <v>329</v>
      </c>
      <c r="I68" s="16" t="s">
        <v>331</v>
      </c>
      <c r="J68" s="16" t="s">
        <v>332</v>
      </c>
      <c r="K68" s="16" t="s">
        <v>55</v>
      </c>
      <c r="L68" s="16" t="s">
        <v>55</v>
      </c>
      <c r="M68" s="16" t="s">
        <v>55</v>
      </c>
      <c r="N68" s="16" t="s">
        <v>55</v>
      </c>
      <c r="O68" s="16"/>
    </row>
    <row r="69" customFormat="false" ht="23.85" hidden="false" customHeight="false" outlineLevel="0" collapsed="false">
      <c r="A69" s="16" t="n">
        <v>68</v>
      </c>
      <c r="B69" s="17" t="s">
        <v>27</v>
      </c>
      <c r="C69" s="16" t="s">
        <v>333</v>
      </c>
      <c r="D69" s="16" t="s">
        <v>47</v>
      </c>
      <c r="E69" s="17" t="s">
        <v>333</v>
      </c>
      <c r="F69" s="18" t="s">
        <v>334</v>
      </c>
      <c r="G69" s="16" t="s">
        <v>58</v>
      </c>
      <c r="H69" s="16" t="s">
        <v>335</v>
      </c>
      <c r="I69" s="16" t="s">
        <v>336</v>
      </c>
      <c r="J69" s="16"/>
      <c r="K69" s="16" t="s">
        <v>55</v>
      </c>
      <c r="L69" s="16" t="s">
        <v>54</v>
      </c>
      <c r="M69" s="16" t="s">
        <v>55</v>
      </c>
      <c r="N69" s="16" t="s">
        <v>54</v>
      </c>
      <c r="O69" s="16"/>
    </row>
    <row r="70" customFormat="false" ht="46.25" hidden="false" customHeight="false" outlineLevel="0" collapsed="false">
      <c r="A70" s="19" t="n">
        <v>69</v>
      </c>
      <c r="B70" s="19" t="s">
        <v>28</v>
      </c>
      <c r="C70" s="19" t="s">
        <v>333</v>
      </c>
      <c r="D70" s="19" t="s">
        <v>333</v>
      </c>
      <c r="E70" s="19" t="s">
        <v>337</v>
      </c>
      <c r="F70" s="20" t="s">
        <v>338</v>
      </c>
      <c r="G70" s="19" t="s">
        <v>58</v>
      </c>
      <c r="H70" s="19" t="s">
        <v>339</v>
      </c>
      <c r="I70" s="19" t="s">
        <v>340</v>
      </c>
      <c r="J70" s="19" t="s">
        <v>341</v>
      </c>
      <c r="K70" s="19" t="s">
        <v>55</v>
      </c>
      <c r="L70" s="19" t="s">
        <v>55</v>
      </c>
      <c r="M70" s="19" t="s">
        <v>55</v>
      </c>
      <c r="N70" s="19" t="s">
        <v>54</v>
      </c>
      <c r="O70" s="19"/>
    </row>
    <row r="71" customFormat="false" ht="23.85" hidden="false" customHeight="false" outlineLevel="0" collapsed="false">
      <c r="A71" s="19" t="n">
        <v>70</v>
      </c>
      <c r="B71" s="19" t="s">
        <v>28</v>
      </c>
      <c r="C71" s="19" t="s">
        <v>333</v>
      </c>
      <c r="D71" s="19" t="s">
        <v>333</v>
      </c>
      <c r="E71" s="19" t="s">
        <v>342</v>
      </c>
      <c r="F71" s="20" t="s">
        <v>343</v>
      </c>
      <c r="G71" s="19" t="s">
        <v>58</v>
      </c>
      <c r="H71" s="19" t="s">
        <v>344</v>
      </c>
      <c r="I71" s="19" t="s">
        <v>345</v>
      </c>
      <c r="J71" s="19" t="s">
        <v>346</v>
      </c>
      <c r="K71" s="19" t="s">
        <v>55</v>
      </c>
      <c r="L71" s="19" t="s">
        <v>55</v>
      </c>
      <c r="M71" s="19" t="s">
        <v>55</v>
      </c>
      <c r="N71" s="19" t="s">
        <v>54</v>
      </c>
      <c r="O71" s="19"/>
    </row>
    <row r="72" customFormat="false" ht="23.85" hidden="false" customHeight="false" outlineLevel="0" collapsed="false">
      <c r="A72" s="19" t="n">
        <v>71</v>
      </c>
      <c r="B72" s="19" t="s">
        <v>28</v>
      </c>
      <c r="C72" s="19" t="s">
        <v>333</v>
      </c>
      <c r="D72" s="19" t="s">
        <v>333</v>
      </c>
      <c r="E72" s="19" t="s">
        <v>347</v>
      </c>
      <c r="F72" s="20" t="s">
        <v>348</v>
      </c>
      <c r="G72" s="19" t="s">
        <v>58</v>
      </c>
      <c r="H72" s="19" t="s">
        <v>349</v>
      </c>
      <c r="I72" s="19" t="s">
        <v>350</v>
      </c>
      <c r="J72" s="19" t="s">
        <v>316</v>
      </c>
      <c r="K72" s="19" t="s">
        <v>55</v>
      </c>
      <c r="L72" s="19" t="s">
        <v>54</v>
      </c>
      <c r="M72" s="19" t="s">
        <v>55</v>
      </c>
      <c r="N72" s="19" t="s">
        <v>55</v>
      </c>
      <c r="O72" s="19"/>
    </row>
    <row r="73" customFormat="false" ht="23.85" hidden="false" customHeight="false" outlineLevel="0" collapsed="false">
      <c r="A73" s="16" t="n">
        <v>72</v>
      </c>
      <c r="B73" s="17" t="s">
        <v>27</v>
      </c>
      <c r="C73" s="16" t="s">
        <v>351</v>
      </c>
      <c r="D73" s="16" t="s">
        <v>47</v>
      </c>
      <c r="E73" s="17" t="s">
        <v>352</v>
      </c>
      <c r="F73" s="18" t="s">
        <v>353</v>
      </c>
      <c r="G73" s="16" t="s">
        <v>58</v>
      </c>
      <c r="H73" s="16" t="s">
        <v>354</v>
      </c>
      <c r="I73" s="16" t="s">
        <v>355</v>
      </c>
      <c r="J73" s="16" t="s">
        <v>356</v>
      </c>
      <c r="K73" s="16" t="s">
        <v>54</v>
      </c>
      <c r="L73" s="16" t="s">
        <v>55</v>
      </c>
      <c r="M73" s="16" t="s">
        <v>55</v>
      </c>
      <c r="N73" s="16" t="s">
        <v>54</v>
      </c>
      <c r="O73" s="16"/>
    </row>
    <row r="74" customFormat="false" ht="23.85" hidden="false" customHeight="false" outlineLevel="0" collapsed="false">
      <c r="A74" s="19" t="n">
        <v>73</v>
      </c>
      <c r="B74" s="19" t="s">
        <v>28</v>
      </c>
      <c r="C74" s="19" t="s">
        <v>351</v>
      </c>
      <c r="D74" s="19" t="s">
        <v>352</v>
      </c>
      <c r="E74" s="19" t="s">
        <v>357</v>
      </c>
      <c r="F74" s="20" t="s">
        <v>358</v>
      </c>
      <c r="G74" s="19" t="s">
        <v>359</v>
      </c>
      <c r="H74" s="19" t="s">
        <v>360</v>
      </c>
      <c r="I74" s="19" t="s">
        <v>361</v>
      </c>
      <c r="J74" s="19"/>
      <c r="K74" s="19" t="s">
        <v>54</v>
      </c>
      <c r="L74" s="19" t="s">
        <v>54</v>
      </c>
      <c r="M74" s="19" t="s">
        <v>362</v>
      </c>
      <c r="N74" s="19" t="s">
        <v>54</v>
      </c>
      <c r="O74" s="19"/>
    </row>
    <row r="75" customFormat="false" ht="15" hidden="false" customHeight="false" outlineLevel="0" collapsed="false">
      <c r="A75" s="16" t="n">
        <v>74</v>
      </c>
      <c r="B75" s="17" t="s">
        <v>27</v>
      </c>
      <c r="C75" s="16" t="s">
        <v>363</v>
      </c>
      <c r="D75" s="16" t="s">
        <v>47</v>
      </c>
      <c r="E75" s="17" t="s">
        <v>364</v>
      </c>
      <c r="F75" s="18" t="s">
        <v>365</v>
      </c>
      <c r="G75" s="16" t="s">
        <v>98</v>
      </c>
      <c r="H75" s="16" t="s">
        <v>364</v>
      </c>
      <c r="I75" s="16"/>
      <c r="J75" s="16"/>
      <c r="K75" s="16" t="s">
        <v>54</v>
      </c>
      <c r="L75" s="16" t="s">
        <v>55</v>
      </c>
      <c r="M75" s="16" t="s">
        <v>55</v>
      </c>
      <c r="N75" s="16" t="s">
        <v>55</v>
      </c>
      <c r="O75" s="16"/>
    </row>
    <row r="76" customFormat="false" ht="15" hidden="false" customHeight="false" outlineLevel="0" collapsed="false">
      <c r="A76" s="16" t="n">
        <v>75</v>
      </c>
      <c r="B76" s="17" t="s">
        <v>27</v>
      </c>
      <c r="C76" s="16" t="s">
        <v>363</v>
      </c>
      <c r="D76" s="16" t="s">
        <v>47</v>
      </c>
      <c r="E76" s="17" t="s">
        <v>366</v>
      </c>
      <c r="F76" s="18" t="s">
        <v>367</v>
      </c>
      <c r="G76" s="16" t="s">
        <v>98</v>
      </c>
      <c r="H76" s="16" t="s">
        <v>368</v>
      </c>
      <c r="I76" s="16"/>
      <c r="J76" s="16"/>
      <c r="K76" s="16" t="s">
        <v>54</v>
      </c>
      <c r="L76" s="16" t="s">
        <v>55</v>
      </c>
      <c r="M76" s="16" t="s">
        <v>55</v>
      </c>
      <c r="N76" s="16" t="s">
        <v>55</v>
      </c>
      <c r="O76" s="16"/>
    </row>
    <row r="77" customFormat="false" ht="15" hidden="false" customHeight="false" outlineLevel="0" collapsed="false">
      <c r="A77" s="16" t="n">
        <v>76</v>
      </c>
      <c r="B77" s="17" t="s">
        <v>27</v>
      </c>
      <c r="C77" s="16" t="s">
        <v>363</v>
      </c>
      <c r="D77" s="16" t="s">
        <v>47</v>
      </c>
      <c r="E77" s="17" t="s">
        <v>369</v>
      </c>
      <c r="F77" s="18" t="s">
        <v>370</v>
      </c>
      <c r="G77" s="16" t="s">
        <v>98</v>
      </c>
      <c r="H77" s="16" t="s">
        <v>369</v>
      </c>
      <c r="I77" s="16"/>
      <c r="J77" s="16"/>
      <c r="K77" s="16" t="s">
        <v>54</v>
      </c>
      <c r="L77" s="16" t="s">
        <v>55</v>
      </c>
      <c r="M77" s="16" t="s">
        <v>55</v>
      </c>
      <c r="N77" s="16" t="s">
        <v>55</v>
      </c>
      <c r="O77" s="16"/>
    </row>
    <row r="78" customFormat="false" ht="15" hidden="false" customHeight="false" outlineLevel="0" collapsed="false">
      <c r="A78" s="16" t="n">
        <v>77</v>
      </c>
      <c r="B78" s="17" t="s">
        <v>27</v>
      </c>
      <c r="C78" s="16" t="s">
        <v>371</v>
      </c>
      <c r="D78" s="16" t="s">
        <v>47</v>
      </c>
      <c r="E78" s="17" t="s">
        <v>372</v>
      </c>
      <c r="F78" s="18" t="s">
        <v>373</v>
      </c>
      <c r="G78" s="16" t="s">
        <v>359</v>
      </c>
      <c r="H78" s="16" t="s">
        <v>372</v>
      </c>
      <c r="I78" s="16" t="s">
        <v>374</v>
      </c>
      <c r="J78" s="16" t="s">
        <v>375</v>
      </c>
      <c r="K78" s="16" t="s">
        <v>54</v>
      </c>
      <c r="L78" s="16" t="s">
        <v>55</v>
      </c>
      <c r="M78" s="16" t="s">
        <v>55</v>
      </c>
      <c r="N78" s="16" t="s">
        <v>54</v>
      </c>
      <c r="O78" s="16"/>
    </row>
    <row r="79" customFormat="false" ht="15" hidden="false" customHeight="false" outlineLevel="0" collapsed="false">
      <c r="A79" s="16" t="n">
        <v>78</v>
      </c>
      <c r="B79" s="17" t="s">
        <v>27</v>
      </c>
      <c r="C79" s="16" t="s">
        <v>371</v>
      </c>
      <c r="D79" s="16" t="s">
        <v>47</v>
      </c>
      <c r="E79" s="17" t="s">
        <v>376</v>
      </c>
      <c r="F79" s="18" t="s">
        <v>377</v>
      </c>
      <c r="G79" s="16" t="s">
        <v>359</v>
      </c>
      <c r="H79" s="16" t="s">
        <v>378</v>
      </c>
      <c r="I79" s="16" t="s">
        <v>379</v>
      </c>
      <c r="J79" s="16"/>
      <c r="K79" s="16" t="s">
        <v>54</v>
      </c>
      <c r="L79" s="16" t="s">
        <v>54</v>
      </c>
      <c r="M79" s="16" t="s">
        <v>362</v>
      </c>
      <c r="N79" s="16" t="s">
        <v>54</v>
      </c>
      <c r="O79" s="16"/>
    </row>
  </sheetData>
  <autoFilter ref="A1:O79"/>
  <hyperlinks>
    <hyperlink ref="F2" r:id="rId1" display="https://hytengineering.com/"/>
    <hyperlink ref="F3" r:id="rId2" display="https://hytengineering.com/company/"/>
    <hyperlink ref="F4" r:id="rId3" display="https://hytengineering.com/group-companies/"/>
    <hyperlink ref="F5" r:id="rId4" display="https://hytengineering.com/history/"/>
    <hyperlink ref="F6" r:id="rId5" display="https://hytengineering.com/quality/"/>
    <hyperlink ref="F7" r:id="rId6" display="https://hytengineering.com/certifications/"/>
    <hyperlink ref="F8" r:id="rId7" display="https://hytengineering.com/awards/"/>
    <hyperlink ref="F9" r:id="rId8" display="https://hytengineering.com/clientele/"/>
    <hyperlink ref="F10" r:id="rId9" display="https://hytengineering.com/csr/"/>
    <hyperlink ref="F11" r:id="rId10" display="https://hytengineering.com/compliance/"/>
    <hyperlink ref="F12" r:id="rId11" display="https://hytengineering.com/compliance/code-of-conduct/"/>
    <hyperlink ref="F13" r:id="rId12" display="https://hytengineering.com/compliance/guidelines/"/>
    <hyperlink ref="F14" r:id="rId13" display="https://hytengineering.com/compliance/policy-statement/"/>
    <hyperlink ref="F15" r:id="rId14" display="https://hytengineering.com/products/"/>
    <hyperlink ref="F16" r:id="rId15" display="https://hytengineering.com/surface-wheel-lathe/"/>
    <hyperlink ref="F17" r:id="rId16" display="https://hytengineering.com/underfloor-wheel-lathe/"/>
    <hyperlink ref="F18" r:id="rId17" display="https://hytengineering.com/underfloor-wheel-lathe-yugl/"/>
    <hyperlink ref="F19" r:id="rId18" display="https://hytengineering.com/tandem-underfloor-wheel-lathe/"/>
    <hyperlink ref="F20" r:id="rId19" display="https://hytengineering.com/tandem-underfloor-wheel-lathe-yuglx/"/>
    <hyperlink ref="F21" r:id="rId20" display="https://hytengineering.com/portal-wheel-lathe/"/>
    <hyperlink ref="F22" r:id="rId21" display="https://hytengineering.com/roller-type-portal-wheel-lathe/"/>
    <hyperlink ref="F23" r:id="rId22" display="https://hytengineering.com/vertical-turning-boring-machine/"/>
    <hyperlink ref="F24" r:id="rId23" display="https://hytengineering.com/axle-journal-turning-burnishing-lathe/"/>
    <hyperlink ref="F25" r:id="rId24" display="https://hytengineering.com/axle-turning-lathe/"/>
    <hyperlink ref="F26" r:id="rId25" display="https://hytengineering.com/wheel-presses/"/>
    <hyperlink ref="F27" r:id="rId26" display="https://hytengineering.com/wheel-measuring-station/"/>
    <hyperlink ref="F28" r:id="rId27" display="https://hytengineering.com/dynamic-wheel-balancing-machine/"/>
    <hyperlink ref="F29" r:id="rId28" display="https://hytengineering.com/multi-purpose-armature-machine/"/>
    <hyperlink ref="F30" r:id="rId29" display="https://hytengineering.com/automated-train-washing-plant/"/>
    <hyperlink ref="F31" r:id="rId30" display="https://hytengineering.com/rail-cum-road-vehicle-shunter/"/>
    <hyperlink ref="F32" r:id="rId31" display="https://hytengineering.com/skc-gleittechnik-gmbh-germany/"/>
    <hyperlink ref="F33" r:id="rId32" display="https://hytengineering.com/turnkey-project/"/>
    <hyperlink ref="F34" r:id="rId33" display="https://hytengineering.com/turnkey-project/wheel-shops/"/>
    <hyperlink ref="F35" r:id="rId34" display="https://hytengineering.com/turnkey-project/railway-maintenance-depots/"/>
    <hyperlink ref="F36" r:id="rId35" display="https://hytengineering.com/turnkey-project/rolling-stock-manufacturing-facilities/"/>
    <hyperlink ref="F37" r:id="rId36" display="https://hytengineering.com/turnkey-project/wheelset-manufacturing-plants/"/>
    <hyperlink ref="F38" r:id="rId37" display="https://hytengineering.com/turnkey-project/wheel-machining-lines/"/>
    <hyperlink ref="F39" r:id="rId38" display="https://hytengineering.com/turnkey-project/axle-machining-lines/"/>
    <hyperlink ref="F40" r:id="rId39" display="https://hytengineering.com/executed-projects/"/>
    <hyperlink ref="F41" r:id="rId40" display="https://hytengineering.com/under-execution/"/>
    <hyperlink ref="F42" r:id="rId41" display="https://hytengineering.com/services/"/>
    <hyperlink ref="F43" r:id="rId42" display="https://hytengineering.com/installation-commissioning/"/>
    <hyperlink ref="F44" r:id="rId43" display="https://hytengineering.com/maintenance/"/>
    <hyperlink ref="F45" r:id="rId44" display="https://hytengineering.com/operation-and-maintenance/"/>
    <hyperlink ref="F46" r:id="rId45" display="https://hytengineering.com/annual-maintenance-contract/"/>
    <hyperlink ref="F47" r:id="rId46" display="https://hytengineering.com/comprehensive-annual-maintenance-contract/"/>
    <hyperlink ref="F48" r:id="rId47" display="https://hytengineering.com/operation-contract/"/>
    <hyperlink ref="F49" r:id="rId48" display="https://hytengineering.com/service-contract/"/>
    <hyperlink ref="F50" r:id="rId49" display="https://hytengineering.com/spare-supply/"/>
    <hyperlink ref="F51" r:id="rId50" display="https://hytengineering.com/retro-fitment-upgradation/"/>
    <hyperlink ref="F52" r:id="rId51" display="https://hytengineering.com/repair/"/>
    <hyperlink ref="F53" r:id="rId52" display="https://hytengineering.com/shifting/"/>
    <hyperlink ref="F54" r:id="rId53" display="https://hytengineering.com/wet-leasing/"/>
    <hyperlink ref="F55" r:id="rId54" display="https://hytengineering.com/training/"/>
    <hyperlink ref="F56" r:id="rId55" display="https://hytengineering.com/service-centers/"/>
    <hyperlink ref="F57" r:id="rId56" display="https://hytengineering.com/industries/"/>
    <hyperlink ref="F58" r:id="rId57" display="https://hytengineering.com/industries/railways/"/>
    <hyperlink ref="F59" r:id="rId58" display="https://hytengineering.com/industries/metros/"/>
    <hyperlink ref="F60" r:id="rId59" display="https://hytengineering.com/industries/rolling-stock-manufacturers/"/>
    <hyperlink ref="F61" r:id="rId60" display="https://hytengineering.com/industries/defence/"/>
    <hyperlink ref="F62" r:id="rId61" display="https://hytengineering.com/industries/heavy-engineering/"/>
    <hyperlink ref="F63" r:id="rId62" display="https://hytengineering.com/news/"/>
    <hyperlink ref="F64" r:id="rId63" display="https://hytengineering.com/international-exhibitions/"/>
    <hyperlink ref="F65" r:id="rId64" display="https://hytengineering.com/domestic-exhibitions/"/>
    <hyperlink ref="F66" r:id="rId65" display="https://hytengineering.com/blog/"/>
    <hyperlink ref="F67" r:id="rId66" display="https://hytengineering.com/knowledge-centre/"/>
    <hyperlink ref="F68" r:id="rId67" display="https://hytengineering.com/downloads/"/>
    <hyperlink ref="F69" r:id="rId68" display="https://hytengineering.com/work-with-us/"/>
    <hyperlink ref="F70" r:id="rId69" display="https://hytengineering.com/career/"/>
    <hyperlink ref="F71" r:id="rId70" display="https://hytengineering.com/supplier-registration/"/>
    <hyperlink ref="F72" r:id="rId71" display="https://hytengineering.com/memorialization/"/>
    <hyperlink ref="F73" r:id="rId72" display="https://hytengineering.com/contact-us/"/>
    <hyperlink ref="F74" r:id="rId73" display="https://hytengineering.com/thank-you/"/>
    <hyperlink ref="F75" r:id="rId74" display="https://hytengineering.com/privacy-policy/"/>
    <hyperlink ref="F76" r:id="rId75" display="https://hytengineering.com/disclaimer/"/>
    <hyperlink ref="F77" r:id="rId76" display="https://hytengineering.com/cookie-policy/"/>
    <hyperlink ref="F78" r:id="rId77" display="https://hytengineering.com/sitemap/"/>
    <hyperlink ref="F79" r:id="rId78" display="https://hytengineering.com/404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56"/>
  </cols>
  <sheetData>
    <row r="1" customFormat="false" ht="30" hidden="false" customHeight="true" outlineLevel="0" collapsed="false">
      <c r="A1" s="12" t="s">
        <v>380</v>
      </c>
      <c r="B1" s="12" t="s">
        <v>381</v>
      </c>
      <c r="C1" s="12" t="s">
        <v>382</v>
      </c>
      <c r="D1" s="12" t="s">
        <v>383</v>
      </c>
      <c r="E1" s="12" t="s">
        <v>384</v>
      </c>
    </row>
    <row r="2" customFormat="false" ht="15" hidden="false" customHeight="false" outlineLevel="0" collapsed="false">
      <c r="A2" s="23" t="s">
        <v>56</v>
      </c>
      <c r="B2" s="23" t="s">
        <v>385</v>
      </c>
      <c r="C2" s="23" t="s">
        <v>56</v>
      </c>
      <c r="D2" s="23"/>
      <c r="E2" s="23" t="s">
        <v>57</v>
      </c>
    </row>
    <row r="3" customFormat="false" ht="15" hidden="false" customHeight="false" outlineLevel="0" collapsed="false">
      <c r="A3" s="23" t="s">
        <v>56</v>
      </c>
      <c r="B3" s="23" t="s">
        <v>385</v>
      </c>
      <c r="C3" s="23" t="s">
        <v>386</v>
      </c>
      <c r="D3" s="23"/>
      <c r="E3" s="23" t="s">
        <v>63</v>
      </c>
    </row>
    <row r="4" customFormat="false" ht="15" hidden="false" customHeight="false" outlineLevel="0" collapsed="false">
      <c r="A4" s="23" t="s">
        <v>56</v>
      </c>
      <c r="B4" s="23" t="s">
        <v>385</v>
      </c>
      <c r="C4" s="23" t="s">
        <v>387</v>
      </c>
      <c r="D4" s="23"/>
      <c r="E4" s="23" t="s">
        <v>67</v>
      </c>
    </row>
    <row r="5" customFormat="false" ht="15" hidden="false" customHeight="false" outlineLevel="0" collapsed="false">
      <c r="A5" s="23" t="s">
        <v>56</v>
      </c>
      <c r="B5" s="23" t="s">
        <v>388</v>
      </c>
      <c r="C5" s="23" t="s">
        <v>75</v>
      </c>
      <c r="D5" s="23"/>
      <c r="E5" s="23" t="s">
        <v>72</v>
      </c>
    </row>
    <row r="6" customFormat="false" ht="15" hidden="false" customHeight="false" outlineLevel="0" collapsed="false">
      <c r="A6" s="23" t="s">
        <v>56</v>
      </c>
      <c r="B6" s="23" t="s">
        <v>388</v>
      </c>
      <c r="C6" s="23" t="s">
        <v>78</v>
      </c>
      <c r="D6" s="23" t="s">
        <v>389</v>
      </c>
      <c r="E6" s="23" t="s">
        <v>77</v>
      </c>
    </row>
    <row r="7" customFormat="false" ht="15" hidden="false" customHeight="false" outlineLevel="0" collapsed="false">
      <c r="A7" s="23" t="s">
        <v>56</v>
      </c>
      <c r="B7" s="23" t="s">
        <v>388</v>
      </c>
      <c r="C7" s="23" t="s">
        <v>390</v>
      </c>
      <c r="D7" s="23"/>
      <c r="E7" s="23" t="s">
        <v>81</v>
      </c>
    </row>
    <row r="8" customFormat="false" ht="15" hidden="false" customHeight="false" outlineLevel="0" collapsed="false">
      <c r="A8" s="23" t="s">
        <v>56</v>
      </c>
      <c r="B8" s="23" t="s">
        <v>388</v>
      </c>
      <c r="C8" s="23" t="s">
        <v>391</v>
      </c>
      <c r="D8" s="23"/>
      <c r="E8" s="23" t="s">
        <v>85</v>
      </c>
    </row>
    <row r="9" customFormat="false" ht="15" hidden="false" customHeight="false" outlineLevel="0" collapsed="false">
      <c r="A9" s="23" t="s">
        <v>56</v>
      </c>
      <c r="B9" s="23" t="s">
        <v>392</v>
      </c>
      <c r="C9" s="23" t="s">
        <v>393</v>
      </c>
      <c r="D9" s="23"/>
      <c r="E9" s="23" t="s">
        <v>89</v>
      </c>
    </row>
    <row r="10" customFormat="false" ht="15" hidden="false" customHeight="false" outlineLevel="0" collapsed="false">
      <c r="A10" s="23" t="s">
        <v>56</v>
      </c>
      <c r="B10" s="23" t="s">
        <v>392</v>
      </c>
      <c r="C10" s="23" t="s">
        <v>94</v>
      </c>
      <c r="D10" s="23"/>
      <c r="E10" s="23" t="s">
        <v>93</v>
      </c>
    </row>
    <row r="11" customFormat="false" ht="15" hidden="false" customHeight="false" outlineLevel="0" collapsed="false">
      <c r="A11" s="23" t="s">
        <v>106</v>
      </c>
      <c r="B11" s="23" t="s">
        <v>394</v>
      </c>
      <c r="C11" s="23" t="s">
        <v>395</v>
      </c>
      <c r="D11" s="23"/>
      <c r="E11" s="23" t="s">
        <v>112</v>
      </c>
    </row>
    <row r="12" customFormat="false" ht="15" hidden="false" customHeight="false" outlineLevel="0" collapsed="false">
      <c r="A12" s="23" t="s">
        <v>106</v>
      </c>
      <c r="B12" s="23" t="s">
        <v>394</v>
      </c>
      <c r="C12" s="23" t="s">
        <v>396</v>
      </c>
      <c r="D12" s="23"/>
      <c r="E12" s="23" t="s">
        <v>118</v>
      </c>
    </row>
    <row r="13" customFormat="false" ht="15" hidden="false" customHeight="false" outlineLevel="0" collapsed="false">
      <c r="A13" s="23" t="s">
        <v>106</v>
      </c>
      <c r="B13" s="23" t="s">
        <v>394</v>
      </c>
      <c r="C13" s="23" t="s">
        <v>397</v>
      </c>
      <c r="D13" s="23"/>
      <c r="E13" s="23" t="s">
        <v>122</v>
      </c>
    </row>
    <row r="14" customFormat="false" ht="15" hidden="false" customHeight="false" outlineLevel="0" collapsed="false">
      <c r="A14" s="23" t="s">
        <v>106</v>
      </c>
      <c r="B14" s="23" t="s">
        <v>394</v>
      </c>
      <c r="C14" s="23" t="s">
        <v>398</v>
      </c>
      <c r="D14" s="23"/>
      <c r="E14" s="23" t="s">
        <v>126</v>
      </c>
    </row>
    <row r="15" customFormat="false" ht="15" hidden="false" customHeight="false" outlineLevel="0" collapsed="false">
      <c r="A15" s="23" t="s">
        <v>106</v>
      </c>
      <c r="B15" s="23" t="s">
        <v>394</v>
      </c>
      <c r="C15" s="23" t="s">
        <v>399</v>
      </c>
      <c r="D15" s="23"/>
      <c r="E15" s="23" t="s">
        <v>130</v>
      </c>
    </row>
    <row r="16" customFormat="false" ht="15" hidden="false" customHeight="false" outlineLevel="0" collapsed="false">
      <c r="A16" s="23" t="s">
        <v>106</v>
      </c>
      <c r="B16" s="23" t="s">
        <v>394</v>
      </c>
      <c r="C16" s="23" t="s">
        <v>400</v>
      </c>
      <c r="D16" s="23"/>
      <c r="E16" s="23" t="s">
        <v>134</v>
      </c>
    </row>
    <row r="17" customFormat="false" ht="15" hidden="false" customHeight="false" outlineLevel="0" collapsed="false">
      <c r="A17" s="23" t="s">
        <v>106</v>
      </c>
      <c r="B17" s="23" t="s">
        <v>394</v>
      </c>
      <c r="C17" s="23" t="s">
        <v>401</v>
      </c>
      <c r="D17" s="23"/>
      <c r="E17" s="23" t="s">
        <v>138</v>
      </c>
    </row>
    <row r="18" customFormat="false" ht="15" hidden="false" customHeight="false" outlineLevel="0" collapsed="false">
      <c r="A18" s="23" t="s">
        <v>106</v>
      </c>
      <c r="B18" s="23" t="s">
        <v>402</v>
      </c>
      <c r="C18" s="23" t="s">
        <v>403</v>
      </c>
      <c r="D18" s="23"/>
      <c r="E18" s="23" t="s">
        <v>142</v>
      </c>
    </row>
    <row r="19" customFormat="false" ht="15" hidden="false" customHeight="false" outlineLevel="0" collapsed="false">
      <c r="A19" s="23" t="s">
        <v>106</v>
      </c>
      <c r="B19" s="23" t="s">
        <v>402</v>
      </c>
      <c r="C19" s="23" t="s">
        <v>404</v>
      </c>
      <c r="D19" s="23"/>
      <c r="E19" s="23" t="s">
        <v>146</v>
      </c>
    </row>
    <row r="20" customFormat="false" ht="15" hidden="false" customHeight="false" outlineLevel="0" collapsed="false">
      <c r="A20" s="23" t="s">
        <v>106</v>
      </c>
      <c r="B20" s="23" t="s">
        <v>402</v>
      </c>
      <c r="C20" s="23" t="s">
        <v>405</v>
      </c>
      <c r="D20" s="23"/>
      <c r="E20" s="23" t="s">
        <v>150</v>
      </c>
    </row>
    <row r="21" customFormat="false" ht="15" hidden="false" customHeight="false" outlineLevel="0" collapsed="false">
      <c r="A21" s="23" t="s">
        <v>106</v>
      </c>
      <c r="B21" s="23" t="s">
        <v>402</v>
      </c>
      <c r="C21" s="23" t="s">
        <v>406</v>
      </c>
      <c r="D21" s="23"/>
      <c r="E21" s="23" t="s">
        <v>154</v>
      </c>
    </row>
    <row r="22" customFormat="false" ht="15" hidden="false" customHeight="false" outlineLevel="0" collapsed="false">
      <c r="A22" s="23" t="s">
        <v>106</v>
      </c>
      <c r="B22" s="23" t="s">
        <v>402</v>
      </c>
      <c r="C22" s="23" t="s">
        <v>407</v>
      </c>
      <c r="D22" s="23"/>
      <c r="E22" s="23" t="s">
        <v>158</v>
      </c>
    </row>
    <row r="23" customFormat="false" ht="15" hidden="false" customHeight="false" outlineLevel="0" collapsed="false">
      <c r="A23" s="23" t="s">
        <v>106</v>
      </c>
      <c r="B23" s="23" t="s">
        <v>402</v>
      </c>
      <c r="C23" s="23" t="s">
        <v>408</v>
      </c>
      <c r="D23" s="23"/>
      <c r="E23" s="23" t="s">
        <v>162</v>
      </c>
    </row>
    <row r="24" customFormat="false" ht="15" hidden="false" customHeight="false" outlineLevel="0" collapsed="false">
      <c r="A24" s="23" t="s">
        <v>106</v>
      </c>
      <c r="B24" s="23" t="s">
        <v>409</v>
      </c>
      <c r="C24" s="23" t="s">
        <v>410</v>
      </c>
      <c r="D24" s="23"/>
      <c r="E24" s="23" t="s">
        <v>166</v>
      </c>
    </row>
    <row r="25" customFormat="false" ht="15" hidden="false" customHeight="false" outlineLevel="0" collapsed="false">
      <c r="A25" s="23" t="s">
        <v>106</v>
      </c>
      <c r="B25" s="23" t="s">
        <v>409</v>
      </c>
      <c r="C25" s="23" t="s">
        <v>411</v>
      </c>
      <c r="D25" s="23"/>
      <c r="E25" s="23" t="s">
        <v>170</v>
      </c>
    </row>
    <row r="26" customFormat="false" ht="15" hidden="false" customHeight="false" outlineLevel="0" collapsed="false">
      <c r="A26" s="23" t="s">
        <v>106</v>
      </c>
      <c r="B26" s="23" t="s">
        <v>409</v>
      </c>
      <c r="C26" s="23" t="s">
        <v>412</v>
      </c>
      <c r="D26" s="23"/>
      <c r="E26" s="23" t="s">
        <v>174</v>
      </c>
    </row>
    <row r="27" customFormat="false" ht="15" hidden="false" customHeight="false" outlineLevel="0" collapsed="false">
      <c r="A27" s="23" t="s">
        <v>106</v>
      </c>
      <c r="B27" s="23" t="s">
        <v>413</v>
      </c>
      <c r="C27" s="23" t="s">
        <v>414</v>
      </c>
      <c r="D27" s="23"/>
      <c r="E27" s="23" t="s">
        <v>178</v>
      </c>
    </row>
    <row r="28" customFormat="false" ht="15" hidden="false" customHeight="false" outlineLevel="0" collapsed="false">
      <c r="A28" s="23" t="s">
        <v>181</v>
      </c>
      <c r="B28" s="23" t="s">
        <v>415</v>
      </c>
      <c r="C28" s="23" t="s">
        <v>416</v>
      </c>
      <c r="D28" s="23"/>
      <c r="E28" s="23" t="s">
        <v>186</v>
      </c>
    </row>
    <row r="29" customFormat="false" ht="23.85" hidden="false" customHeight="false" outlineLevel="0" collapsed="false">
      <c r="A29" s="23" t="s">
        <v>181</v>
      </c>
      <c r="B29" s="23" t="s">
        <v>415</v>
      </c>
      <c r="C29" s="23" t="s">
        <v>417</v>
      </c>
      <c r="D29" s="23"/>
      <c r="E29" s="23" t="s">
        <v>191</v>
      </c>
    </row>
    <row r="30" customFormat="false" ht="23.85" hidden="false" customHeight="false" outlineLevel="0" collapsed="false">
      <c r="A30" s="23" t="s">
        <v>181</v>
      </c>
      <c r="B30" s="23" t="s">
        <v>415</v>
      </c>
      <c r="C30" s="23" t="s">
        <v>418</v>
      </c>
      <c r="D30" s="23"/>
      <c r="E30" s="23" t="s">
        <v>196</v>
      </c>
    </row>
    <row r="31" customFormat="false" ht="23.85" hidden="false" customHeight="false" outlineLevel="0" collapsed="false">
      <c r="A31" s="23" t="s">
        <v>181</v>
      </c>
      <c r="B31" s="23" t="s">
        <v>415</v>
      </c>
      <c r="C31" s="23" t="s">
        <v>419</v>
      </c>
      <c r="D31" s="23"/>
      <c r="E31" s="23" t="s">
        <v>200</v>
      </c>
    </row>
    <row r="32" customFormat="false" ht="15" hidden="false" customHeight="false" outlineLevel="0" collapsed="false">
      <c r="A32" s="23" t="s">
        <v>181</v>
      </c>
      <c r="B32" s="23" t="s">
        <v>415</v>
      </c>
      <c r="C32" s="23" t="s">
        <v>420</v>
      </c>
      <c r="D32" s="23"/>
      <c r="E32" s="23" t="s">
        <v>204</v>
      </c>
    </row>
    <row r="33" customFormat="false" ht="15" hidden="false" customHeight="false" outlineLevel="0" collapsed="false">
      <c r="A33" s="23" t="s">
        <v>181</v>
      </c>
      <c r="B33" s="23" t="s">
        <v>415</v>
      </c>
      <c r="C33" s="23" t="s">
        <v>421</v>
      </c>
      <c r="D33" s="23"/>
      <c r="E33" s="23" t="s">
        <v>208</v>
      </c>
    </row>
    <row r="34" customFormat="false" ht="15" hidden="false" customHeight="false" outlineLevel="0" collapsed="false">
      <c r="A34" s="23" t="s">
        <v>181</v>
      </c>
      <c r="B34" s="23" t="s">
        <v>422</v>
      </c>
      <c r="C34" s="23" t="s">
        <v>423</v>
      </c>
      <c r="D34" s="23"/>
      <c r="E34" s="23" t="s">
        <v>212</v>
      </c>
    </row>
    <row r="35" customFormat="false" ht="15" hidden="false" customHeight="false" outlineLevel="0" collapsed="false">
      <c r="A35" s="23" t="s">
        <v>181</v>
      </c>
      <c r="B35" s="23" t="s">
        <v>422</v>
      </c>
      <c r="C35" s="23" t="s">
        <v>424</v>
      </c>
      <c r="D35" s="23"/>
      <c r="E35" s="23" t="s">
        <v>217</v>
      </c>
    </row>
    <row r="36" customFormat="false" ht="15" hidden="false" customHeight="false" outlineLevel="0" collapsed="false">
      <c r="A36" s="23" t="s">
        <v>220</v>
      </c>
      <c r="B36" s="23" t="s">
        <v>48</v>
      </c>
      <c r="C36" s="23" t="s">
        <v>425</v>
      </c>
      <c r="D36" s="23"/>
      <c r="E36" s="23" t="s">
        <v>225</v>
      </c>
    </row>
    <row r="37" customFormat="false" ht="15" hidden="false" customHeight="false" outlineLevel="0" collapsed="false">
      <c r="A37" s="23" t="s">
        <v>220</v>
      </c>
      <c r="B37" s="23" t="s">
        <v>48</v>
      </c>
      <c r="C37" s="23" t="s">
        <v>232</v>
      </c>
      <c r="D37" s="23"/>
      <c r="E37" s="23" t="s">
        <v>229</v>
      </c>
    </row>
    <row r="38" customFormat="false" ht="15" hidden="false" customHeight="false" outlineLevel="0" collapsed="false">
      <c r="A38" s="23" t="s">
        <v>220</v>
      </c>
      <c r="B38" s="23" t="s">
        <v>48</v>
      </c>
      <c r="C38" s="23" t="s">
        <v>426</v>
      </c>
      <c r="D38" s="23" t="s">
        <v>389</v>
      </c>
      <c r="E38" s="23" t="s">
        <v>234</v>
      </c>
    </row>
    <row r="39" customFormat="false" ht="15" hidden="false" customHeight="false" outlineLevel="0" collapsed="false">
      <c r="A39" s="23" t="s">
        <v>220</v>
      </c>
      <c r="B39" s="23" t="s">
        <v>48</v>
      </c>
      <c r="C39" s="23" t="s">
        <v>239</v>
      </c>
      <c r="D39" s="23" t="s">
        <v>389</v>
      </c>
      <c r="E39" s="23" t="s">
        <v>238</v>
      </c>
    </row>
    <row r="40" customFormat="false" ht="23.85" hidden="false" customHeight="false" outlineLevel="0" collapsed="false">
      <c r="A40" s="23" t="s">
        <v>220</v>
      </c>
      <c r="B40" s="23" t="s">
        <v>48</v>
      </c>
      <c r="C40" s="23" t="s">
        <v>243</v>
      </c>
      <c r="D40" s="23" t="s">
        <v>389</v>
      </c>
      <c r="E40" s="23" t="s">
        <v>242</v>
      </c>
    </row>
    <row r="41" customFormat="false" ht="15" hidden="false" customHeight="false" outlineLevel="0" collapsed="false">
      <c r="A41" s="23" t="s">
        <v>220</v>
      </c>
      <c r="B41" s="23" t="s">
        <v>48</v>
      </c>
      <c r="C41" s="23" t="s">
        <v>427</v>
      </c>
      <c r="D41" s="23" t="s">
        <v>389</v>
      </c>
      <c r="E41" s="23" t="s">
        <v>246</v>
      </c>
    </row>
    <row r="42" customFormat="false" ht="15" hidden="false" customHeight="false" outlineLevel="0" collapsed="false">
      <c r="A42" s="23" t="s">
        <v>220</v>
      </c>
      <c r="B42" s="23" t="s">
        <v>48</v>
      </c>
      <c r="C42" s="23" t="s">
        <v>428</v>
      </c>
      <c r="D42" s="23" t="s">
        <v>389</v>
      </c>
      <c r="E42" s="23" t="s">
        <v>250</v>
      </c>
    </row>
    <row r="43" customFormat="false" ht="15" hidden="false" customHeight="false" outlineLevel="0" collapsed="false">
      <c r="A43" s="23" t="s">
        <v>220</v>
      </c>
      <c r="B43" s="23" t="s">
        <v>48</v>
      </c>
      <c r="C43" s="23" t="s">
        <v>429</v>
      </c>
      <c r="D43" s="23" t="s">
        <v>389</v>
      </c>
      <c r="E43" s="23" t="s">
        <v>254</v>
      </c>
    </row>
    <row r="44" customFormat="false" ht="15" hidden="false" customHeight="false" outlineLevel="0" collapsed="false">
      <c r="A44" s="23" t="s">
        <v>220</v>
      </c>
      <c r="B44" s="23" t="s">
        <v>48</v>
      </c>
      <c r="C44" s="23" t="s">
        <v>430</v>
      </c>
      <c r="D44" s="23"/>
      <c r="E44" s="23" t="s">
        <v>258</v>
      </c>
    </row>
    <row r="45" customFormat="false" ht="15" hidden="false" customHeight="false" outlineLevel="0" collapsed="false">
      <c r="A45" s="23" t="s">
        <v>220</v>
      </c>
      <c r="B45" s="23" t="s">
        <v>48</v>
      </c>
      <c r="C45" s="23" t="s">
        <v>431</v>
      </c>
      <c r="D45" s="23"/>
      <c r="E45" s="23" t="s">
        <v>262</v>
      </c>
    </row>
    <row r="46" customFormat="false" ht="15" hidden="false" customHeight="false" outlineLevel="0" collapsed="false">
      <c r="A46" s="23" t="s">
        <v>220</v>
      </c>
      <c r="B46" s="23" t="s">
        <v>48</v>
      </c>
      <c r="C46" s="23" t="s">
        <v>432</v>
      </c>
      <c r="D46" s="23"/>
      <c r="E46" s="23" t="s">
        <v>266</v>
      </c>
    </row>
    <row r="47" customFormat="false" ht="15" hidden="false" customHeight="false" outlineLevel="0" collapsed="false">
      <c r="A47" s="23" t="s">
        <v>220</v>
      </c>
      <c r="B47" s="23" t="s">
        <v>48</v>
      </c>
      <c r="C47" s="23" t="s">
        <v>433</v>
      </c>
      <c r="D47" s="23"/>
      <c r="E47" s="23" t="s">
        <v>270</v>
      </c>
    </row>
    <row r="48" customFormat="false" ht="15" hidden="false" customHeight="false" outlineLevel="0" collapsed="false">
      <c r="A48" s="23" t="s">
        <v>220</v>
      </c>
      <c r="B48" s="23" t="s">
        <v>48</v>
      </c>
      <c r="C48" s="23" t="s">
        <v>434</v>
      </c>
      <c r="D48" s="23"/>
      <c r="E48" s="23" t="s">
        <v>274</v>
      </c>
    </row>
    <row r="49" customFormat="false" ht="15" hidden="false" customHeight="false" outlineLevel="0" collapsed="false">
      <c r="A49" s="23" t="s">
        <v>220</v>
      </c>
      <c r="B49" s="23" t="s">
        <v>48</v>
      </c>
      <c r="C49" s="23" t="s">
        <v>435</v>
      </c>
      <c r="D49" s="23"/>
      <c r="E49" s="23" t="s">
        <v>278</v>
      </c>
    </row>
    <row r="50" customFormat="false" ht="15" hidden="false" customHeight="false" outlineLevel="0" collapsed="false">
      <c r="A50" s="23" t="s">
        <v>282</v>
      </c>
      <c r="B50" s="23" t="s">
        <v>48</v>
      </c>
      <c r="C50" s="23" t="s">
        <v>436</v>
      </c>
      <c r="D50" s="23"/>
      <c r="E50" s="23" t="s">
        <v>287</v>
      </c>
    </row>
    <row r="51" customFormat="false" ht="15" hidden="false" customHeight="false" outlineLevel="0" collapsed="false">
      <c r="A51" s="23" t="s">
        <v>282</v>
      </c>
      <c r="B51" s="23" t="s">
        <v>48</v>
      </c>
      <c r="C51" s="23" t="s">
        <v>437</v>
      </c>
      <c r="D51" s="23"/>
      <c r="E51" s="23" t="s">
        <v>291</v>
      </c>
    </row>
    <row r="52" customFormat="false" ht="15" hidden="false" customHeight="false" outlineLevel="0" collapsed="false">
      <c r="A52" s="23" t="s">
        <v>282</v>
      </c>
      <c r="B52" s="23" t="s">
        <v>48</v>
      </c>
      <c r="C52" s="23" t="s">
        <v>438</v>
      </c>
      <c r="D52" s="23"/>
      <c r="E52" s="23" t="s">
        <v>295</v>
      </c>
    </row>
    <row r="53" customFormat="false" ht="15" hidden="false" customHeight="false" outlineLevel="0" collapsed="false">
      <c r="A53" s="23" t="s">
        <v>282</v>
      </c>
      <c r="B53" s="23" t="s">
        <v>48</v>
      </c>
      <c r="C53" s="23" t="s">
        <v>439</v>
      </c>
      <c r="D53" s="23"/>
      <c r="E53" s="23" t="s">
        <v>299</v>
      </c>
    </row>
    <row r="54" customFormat="false" ht="15" hidden="false" customHeight="false" outlineLevel="0" collapsed="false">
      <c r="A54" s="23" t="s">
        <v>282</v>
      </c>
      <c r="B54" s="23" t="s">
        <v>48</v>
      </c>
      <c r="C54" s="23" t="s">
        <v>440</v>
      </c>
      <c r="D54" s="23"/>
      <c r="E54" s="23" t="s">
        <v>303</v>
      </c>
    </row>
    <row r="55" customFormat="false" ht="15" hidden="false" customHeight="false" outlineLevel="0" collapsed="false">
      <c r="A55" s="23" t="s">
        <v>306</v>
      </c>
      <c r="B55" s="23" t="s">
        <v>441</v>
      </c>
      <c r="C55" s="23" t="s">
        <v>307</v>
      </c>
      <c r="D55" s="23"/>
      <c r="E55" s="23" t="s">
        <v>308</v>
      </c>
    </row>
    <row r="56" customFormat="false" ht="15" hidden="false" customHeight="false" outlineLevel="0" collapsed="false">
      <c r="A56" s="23" t="s">
        <v>306</v>
      </c>
      <c r="B56" s="23" t="s">
        <v>441</v>
      </c>
      <c r="C56" s="23" t="s">
        <v>312</v>
      </c>
      <c r="D56" s="23"/>
      <c r="E56" s="23" t="s">
        <v>313</v>
      </c>
    </row>
    <row r="57" customFormat="false" ht="15" hidden="false" customHeight="false" outlineLevel="0" collapsed="false">
      <c r="A57" s="23" t="s">
        <v>306</v>
      </c>
      <c r="B57" s="23" t="s">
        <v>441</v>
      </c>
      <c r="C57" s="23" t="s">
        <v>317</v>
      </c>
      <c r="D57" s="23"/>
      <c r="E57" s="23" t="s">
        <v>318</v>
      </c>
    </row>
    <row r="58" customFormat="false" ht="15" hidden="false" customHeight="false" outlineLevel="0" collapsed="false">
      <c r="A58" s="23" t="s">
        <v>306</v>
      </c>
      <c r="B58" s="23" t="s">
        <v>442</v>
      </c>
      <c r="C58" s="23" t="s">
        <v>321</v>
      </c>
      <c r="D58" s="23"/>
      <c r="E58" s="23" t="s">
        <v>322</v>
      </c>
    </row>
    <row r="59" customFormat="false" ht="15" hidden="false" customHeight="false" outlineLevel="0" collapsed="false">
      <c r="A59" s="23" t="s">
        <v>306</v>
      </c>
      <c r="B59" s="23" t="s">
        <v>442</v>
      </c>
      <c r="C59" s="23" t="s">
        <v>325</v>
      </c>
      <c r="D59" s="23"/>
      <c r="E59" s="23" t="s">
        <v>326</v>
      </c>
    </row>
    <row r="60" customFormat="false" ht="15" hidden="false" customHeight="false" outlineLevel="0" collapsed="false">
      <c r="A60" s="23" t="s">
        <v>306</v>
      </c>
      <c r="B60" s="23" t="s">
        <v>442</v>
      </c>
      <c r="C60" s="23" t="s">
        <v>329</v>
      </c>
      <c r="D60" s="23"/>
      <c r="E60" s="23" t="s">
        <v>330</v>
      </c>
    </row>
    <row r="61" customFormat="false" ht="15" hidden="false" customHeight="false" outlineLevel="0" collapsed="false">
      <c r="A61" s="23" t="s">
        <v>333</v>
      </c>
      <c r="B61" s="23" t="s">
        <v>48</v>
      </c>
      <c r="C61" s="23" t="s">
        <v>443</v>
      </c>
      <c r="D61" s="23"/>
      <c r="E61" s="23" t="s">
        <v>338</v>
      </c>
    </row>
    <row r="62" customFormat="false" ht="15" hidden="false" customHeight="false" outlineLevel="0" collapsed="false">
      <c r="A62" s="23" t="s">
        <v>333</v>
      </c>
      <c r="B62" s="23" t="s">
        <v>48</v>
      </c>
      <c r="C62" s="23" t="s">
        <v>444</v>
      </c>
      <c r="D62" s="23"/>
      <c r="E62" s="23" t="s">
        <v>343</v>
      </c>
    </row>
    <row r="63" customFormat="false" ht="15" hidden="false" customHeight="false" outlineLevel="0" collapsed="false">
      <c r="A63" s="23" t="s">
        <v>333</v>
      </c>
      <c r="B63" s="23" t="s">
        <v>48</v>
      </c>
      <c r="C63" s="23" t="s">
        <v>349</v>
      </c>
      <c r="D63" s="23"/>
      <c r="E63" s="23" t="s">
        <v>348</v>
      </c>
    </row>
    <row r="64" customFormat="false" ht="15" hidden="false" customHeight="false" outlineLevel="0" collapsed="false">
      <c r="A64" s="5" t="s">
        <v>445</v>
      </c>
      <c r="B64" s="5" t="s">
        <v>48</v>
      </c>
      <c r="C64" s="5" t="s">
        <v>352</v>
      </c>
      <c r="D64" s="5"/>
      <c r="E64" s="5" t="s">
        <v>353</v>
      </c>
    </row>
    <row r="65" customFormat="false" ht="15" hidden="false" customHeight="false" outlineLevel="0" collapsed="false">
      <c r="A65" s="2"/>
      <c r="B65" s="2"/>
      <c r="C65" s="2"/>
      <c r="D65" s="2"/>
      <c r="E65" s="2"/>
    </row>
    <row r="66" customFormat="false" ht="15" hidden="false" customHeight="false" outlineLevel="0" collapsed="false">
      <c r="A66" s="7" t="s">
        <v>446</v>
      </c>
      <c r="B66" s="2"/>
      <c r="C66" s="2"/>
      <c r="D66" s="2"/>
      <c r="E66" s="2"/>
    </row>
    <row r="67" customFormat="false" ht="15" hidden="false" customHeight="false" outlineLevel="0" collapsed="false">
      <c r="A67" s="24" t="s">
        <v>447</v>
      </c>
      <c r="B67" s="2"/>
      <c r="C67" s="24" t="s">
        <v>325</v>
      </c>
      <c r="D67" s="2"/>
      <c r="E67" s="24" t="s">
        <v>326</v>
      </c>
    </row>
    <row r="68" customFormat="false" ht="15" hidden="false" customHeight="false" outlineLevel="0" collapsed="false">
      <c r="A68" s="24" t="s">
        <v>448</v>
      </c>
      <c r="B68" s="2"/>
      <c r="C68" s="24" t="s">
        <v>443</v>
      </c>
      <c r="D68" s="2"/>
      <c r="E68" s="24" t="s">
        <v>338</v>
      </c>
    </row>
    <row r="69" customFormat="false" ht="15" hidden="false" customHeight="false" outlineLevel="0" collapsed="false">
      <c r="A69" s="24" t="s">
        <v>449</v>
      </c>
      <c r="B69" s="2"/>
      <c r="C69" s="24" t="s">
        <v>312</v>
      </c>
      <c r="D69" s="2"/>
      <c r="E69" s="24" t="s">
        <v>313</v>
      </c>
    </row>
    <row r="70" customFormat="false" ht="15" hidden="false" customHeight="false" outlineLevel="0" collapsed="false">
      <c r="A70" s="24" t="s">
        <v>450</v>
      </c>
      <c r="B70" s="2"/>
      <c r="C70" s="24" t="s">
        <v>372</v>
      </c>
      <c r="D70" s="2"/>
      <c r="E70" s="24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56"/>
  </cols>
  <sheetData>
    <row r="1" customFormat="false" ht="30" hidden="false" customHeight="true" outlineLevel="0" collapsed="false">
      <c r="A1" s="12" t="s">
        <v>451</v>
      </c>
      <c r="B1" s="12" t="s">
        <v>452</v>
      </c>
      <c r="C1" s="12" t="s">
        <v>384</v>
      </c>
    </row>
    <row r="2" customFormat="false" ht="15" hidden="false" customHeight="false" outlineLevel="0" collapsed="false">
      <c r="A2" s="5" t="s">
        <v>453</v>
      </c>
      <c r="B2" s="5" t="s">
        <v>56</v>
      </c>
      <c r="C2" s="5" t="s">
        <v>57</v>
      </c>
    </row>
    <row r="3" customFormat="false" ht="15" hidden="false" customHeight="false" outlineLevel="0" collapsed="false">
      <c r="A3" s="5" t="s">
        <v>453</v>
      </c>
      <c r="B3" s="5" t="s">
        <v>386</v>
      </c>
      <c r="C3" s="5" t="s">
        <v>63</v>
      </c>
    </row>
    <row r="4" customFormat="false" ht="15" hidden="false" customHeight="false" outlineLevel="0" collapsed="false">
      <c r="A4" s="5" t="s">
        <v>453</v>
      </c>
      <c r="B4" s="5" t="s">
        <v>387</v>
      </c>
      <c r="C4" s="5" t="s">
        <v>67</v>
      </c>
    </row>
    <row r="5" customFormat="false" ht="15" hidden="false" customHeight="false" outlineLevel="0" collapsed="false">
      <c r="A5" s="5" t="s">
        <v>453</v>
      </c>
      <c r="B5" s="5" t="s">
        <v>75</v>
      </c>
      <c r="C5" s="5" t="s">
        <v>72</v>
      </c>
    </row>
    <row r="6" customFormat="false" ht="15" hidden="false" customHeight="false" outlineLevel="0" collapsed="false">
      <c r="A6" s="5" t="s">
        <v>453</v>
      </c>
      <c r="B6" s="5" t="s">
        <v>391</v>
      </c>
      <c r="C6" s="5" t="s">
        <v>85</v>
      </c>
    </row>
    <row r="7" customFormat="false" ht="15" hidden="false" customHeight="false" outlineLevel="0" collapsed="false">
      <c r="A7" s="5" t="s">
        <v>453</v>
      </c>
      <c r="B7" s="5" t="s">
        <v>393</v>
      </c>
      <c r="C7" s="5" t="s">
        <v>89</v>
      </c>
    </row>
    <row r="8" customFormat="false" ht="15" hidden="false" customHeight="false" outlineLevel="0" collapsed="false">
      <c r="A8" s="5" t="s">
        <v>453</v>
      </c>
      <c r="B8" s="5" t="s">
        <v>94</v>
      </c>
      <c r="C8" s="5" t="s">
        <v>93</v>
      </c>
    </row>
    <row r="9" customFormat="false" ht="15" hidden="false" customHeight="false" outlineLevel="0" collapsed="false">
      <c r="A9" s="5" t="s">
        <v>454</v>
      </c>
      <c r="B9" s="5" t="s">
        <v>106</v>
      </c>
      <c r="C9" s="5" t="s">
        <v>107</v>
      </c>
    </row>
    <row r="10" customFormat="false" ht="15" hidden="false" customHeight="false" outlineLevel="0" collapsed="false">
      <c r="A10" s="5" t="s">
        <v>454</v>
      </c>
      <c r="B10" s="5" t="s">
        <v>395</v>
      </c>
      <c r="C10" s="5" t="s">
        <v>112</v>
      </c>
    </row>
    <row r="11" customFormat="false" ht="15" hidden="false" customHeight="false" outlineLevel="0" collapsed="false">
      <c r="A11" s="5" t="s">
        <v>454</v>
      </c>
      <c r="B11" s="5" t="s">
        <v>396</v>
      </c>
      <c r="C11" s="5" t="s">
        <v>118</v>
      </c>
    </row>
    <row r="12" customFormat="false" ht="15" hidden="false" customHeight="false" outlineLevel="0" collapsed="false">
      <c r="A12" s="5" t="s">
        <v>454</v>
      </c>
      <c r="B12" s="5" t="s">
        <v>398</v>
      </c>
      <c r="C12" s="5" t="s">
        <v>126</v>
      </c>
    </row>
    <row r="13" customFormat="false" ht="15" hidden="false" customHeight="false" outlineLevel="0" collapsed="false">
      <c r="A13" s="5" t="s">
        <v>454</v>
      </c>
      <c r="B13" s="5" t="s">
        <v>400</v>
      </c>
      <c r="C13" s="5" t="s">
        <v>134</v>
      </c>
    </row>
    <row r="14" customFormat="false" ht="15" hidden="false" customHeight="false" outlineLevel="0" collapsed="false">
      <c r="A14" s="5" t="s">
        <v>454</v>
      </c>
      <c r="B14" s="5" t="s">
        <v>403</v>
      </c>
      <c r="C14" s="5" t="s">
        <v>142</v>
      </c>
    </row>
    <row r="15" customFormat="false" ht="15" hidden="false" customHeight="false" outlineLevel="0" collapsed="false">
      <c r="A15" s="5" t="s">
        <v>454</v>
      </c>
      <c r="B15" s="5" t="s">
        <v>181</v>
      </c>
      <c r="C15" s="5" t="s">
        <v>182</v>
      </c>
    </row>
    <row r="16" customFormat="false" ht="15" hidden="false" customHeight="false" outlineLevel="0" collapsed="false">
      <c r="A16" s="5" t="s">
        <v>220</v>
      </c>
      <c r="B16" s="5" t="s">
        <v>220</v>
      </c>
      <c r="C16" s="5" t="s">
        <v>221</v>
      </c>
    </row>
    <row r="17" customFormat="false" ht="15" hidden="false" customHeight="false" outlineLevel="0" collapsed="false">
      <c r="A17" s="5" t="s">
        <v>220</v>
      </c>
      <c r="B17" s="5" t="s">
        <v>425</v>
      </c>
      <c r="C17" s="5" t="s">
        <v>225</v>
      </c>
    </row>
    <row r="18" customFormat="false" ht="15" hidden="false" customHeight="false" outlineLevel="0" collapsed="false">
      <c r="A18" s="5" t="s">
        <v>220</v>
      </c>
      <c r="B18" s="5" t="s">
        <v>239</v>
      </c>
      <c r="C18" s="5" t="s">
        <v>238</v>
      </c>
    </row>
    <row r="19" customFormat="false" ht="15" hidden="false" customHeight="false" outlineLevel="0" collapsed="false">
      <c r="A19" s="5" t="s">
        <v>220</v>
      </c>
      <c r="B19" s="5" t="s">
        <v>429</v>
      </c>
      <c r="C19" s="5" t="s">
        <v>254</v>
      </c>
    </row>
    <row r="20" customFormat="false" ht="15" hidden="false" customHeight="false" outlineLevel="0" collapsed="false">
      <c r="A20" s="5" t="s">
        <v>220</v>
      </c>
      <c r="B20" s="5" t="s">
        <v>430</v>
      </c>
      <c r="C20" s="5" t="s">
        <v>258</v>
      </c>
    </row>
    <row r="21" customFormat="false" ht="15" hidden="false" customHeight="false" outlineLevel="0" collapsed="false">
      <c r="A21" s="5" t="s">
        <v>220</v>
      </c>
      <c r="B21" s="5" t="s">
        <v>433</v>
      </c>
      <c r="C21" s="5" t="s">
        <v>270</v>
      </c>
    </row>
    <row r="22" customFormat="false" ht="15" hidden="false" customHeight="false" outlineLevel="0" collapsed="false">
      <c r="A22" s="5" t="s">
        <v>220</v>
      </c>
      <c r="B22" s="5" t="s">
        <v>434</v>
      </c>
      <c r="C22" s="5" t="s">
        <v>274</v>
      </c>
    </row>
    <row r="23" customFormat="false" ht="15" hidden="false" customHeight="false" outlineLevel="0" collapsed="false">
      <c r="A23" s="5" t="s">
        <v>220</v>
      </c>
      <c r="B23" s="5" t="s">
        <v>435</v>
      </c>
      <c r="C23" s="5" t="s">
        <v>278</v>
      </c>
    </row>
    <row r="24" customFormat="false" ht="15" hidden="false" customHeight="false" outlineLevel="0" collapsed="false">
      <c r="A24" s="5" t="s">
        <v>442</v>
      </c>
      <c r="B24" s="5" t="s">
        <v>282</v>
      </c>
      <c r="C24" s="5" t="s">
        <v>283</v>
      </c>
    </row>
    <row r="25" customFormat="false" ht="15" hidden="false" customHeight="false" outlineLevel="0" collapsed="false">
      <c r="A25" s="5" t="s">
        <v>442</v>
      </c>
      <c r="B25" s="5" t="s">
        <v>307</v>
      </c>
      <c r="C25" s="5" t="s">
        <v>308</v>
      </c>
    </row>
    <row r="26" customFormat="false" ht="15" hidden="false" customHeight="false" outlineLevel="0" collapsed="false">
      <c r="A26" s="5" t="s">
        <v>442</v>
      </c>
      <c r="B26" s="5" t="s">
        <v>321</v>
      </c>
      <c r="C26" s="5" t="s">
        <v>322</v>
      </c>
    </row>
    <row r="27" customFormat="false" ht="15" hidden="false" customHeight="false" outlineLevel="0" collapsed="false">
      <c r="A27" s="5" t="s">
        <v>442</v>
      </c>
      <c r="B27" s="5" t="s">
        <v>325</v>
      </c>
      <c r="C27" s="5" t="s">
        <v>326</v>
      </c>
    </row>
    <row r="28" customFormat="false" ht="15" hidden="false" customHeight="false" outlineLevel="0" collapsed="false">
      <c r="A28" s="5" t="s">
        <v>442</v>
      </c>
      <c r="B28" s="5" t="s">
        <v>329</v>
      </c>
      <c r="C28" s="5" t="s">
        <v>330</v>
      </c>
    </row>
    <row r="29" customFormat="false" ht="15" hidden="false" customHeight="false" outlineLevel="0" collapsed="false">
      <c r="A29" s="5" t="s">
        <v>442</v>
      </c>
      <c r="B29" s="5" t="s">
        <v>443</v>
      </c>
      <c r="C29" s="5" t="s">
        <v>338</v>
      </c>
    </row>
    <row r="30" customFormat="false" ht="15" hidden="false" customHeight="false" outlineLevel="0" collapsed="false">
      <c r="A30" s="5" t="s">
        <v>442</v>
      </c>
      <c r="B30" s="5" t="s">
        <v>444</v>
      </c>
      <c r="C30" s="5" t="s">
        <v>343</v>
      </c>
    </row>
    <row r="31" customFormat="false" ht="15" hidden="false" customHeight="false" outlineLevel="0" collapsed="false">
      <c r="A31" s="5" t="s">
        <v>442</v>
      </c>
      <c r="B31" s="5" t="s">
        <v>352</v>
      </c>
      <c r="C31" s="5" t="s">
        <v>353</v>
      </c>
    </row>
    <row r="32" customFormat="false" ht="15" hidden="false" customHeight="false" outlineLevel="0" collapsed="false">
      <c r="A32" s="5" t="s">
        <v>455</v>
      </c>
      <c r="B32" s="5" t="s">
        <v>364</v>
      </c>
      <c r="C32" s="5" t="s">
        <v>365</v>
      </c>
    </row>
    <row r="33" customFormat="false" ht="15" hidden="false" customHeight="false" outlineLevel="0" collapsed="false">
      <c r="A33" s="5" t="s">
        <v>455</v>
      </c>
      <c r="B33" s="5" t="s">
        <v>369</v>
      </c>
      <c r="C33" s="5" t="s">
        <v>370</v>
      </c>
    </row>
    <row r="34" customFormat="false" ht="15" hidden="false" customHeight="false" outlineLevel="0" collapsed="false">
      <c r="A34" s="5" t="s">
        <v>455</v>
      </c>
      <c r="B34" s="5" t="s">
        <v>366</v>
      </c>
      <c r="C34" s="5" t="s">
        <v>367</v>
      </c>
    </row>
    <row r="35" customFormat="false" ht="15" hidden="false" customHeight="false" outlineLevel="0" collapsed="false">
      <c r="A35" s="5" t="s">
        <v>455</v>
      </c>
      <c r="B35" s="5" t="s">
        <v>372</v>
      </c>
      <c r="C35" s="5" t="s">
        <v>373</v>
      </c>
    </row>
    <row r="36" customFormat="false" ht="15" hidden="false" customHeight="false" outlineLevel="0" collapsed="false">
      <c r="A36" s="24" t="s">
        <v>456</v>
      </c>
      <c r="B36" s="24" t="s">
        <v>457</v>
      </c>
      <c r="C36" s="24" t="s">
        <v>458</v>
      </c>
    </row>
    <row r="37" customFormat="false" ht="15" hidden="false" customHeight="false" outlineLevel="0" collapsed="false">
      <c r="A37" s="24" t="s">
        <v>456</v>
      </c>
      <c r="B37" s="24" t="s">
        <v>459</v>
      </c>
      <c r="C37" s="24" t="s"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15"/>
    <col collapsed="false" customWidth="true" hidden="false" outlineLevel="0" max="6" min="6" style="0" width="40"/>
  </cols>
  <sheetData>
    <row r="1" customFormat="false" ht="30" hidden="false" customHeight="true" outlineLevel="0" collapsed="false">
      <c r="A1" s="12" t="s">
        <v>461</v>
      </c>
      <c r="B1" s="12" t="s">
        <v>462</v>
      </c>
      <c r="C1" s="12" t="s">
        <v>463</v>
      </c>
      <c r="D1" s="12" t="s">
        <v>464</v>
      </c>
      <c r="E1" s="12" t="s">
        <v>465</v>
      </c>
      <c r="F1" s="12" t="s">
        <v>466</v>
      </c>
    </row>
    <row r="2" customFormat="false" ht="15" hidden="false" customHeight="false" outlineLevel="0" collapsed="false">
      <c r="A2" s="5" t="s">
        <v>467</v>
      </c>
      <c r="B2" s="5" t="s">
        <v>468</v>
      </c>
      <c r="C2" s="5" t="s">
        <v>469</v>
      </c>
      <c r="D2" s="5" t="s">
        <v>107</v>
      </c>
      <c r="E2" s="5" t="n">
        <f aca="false">COUNTA('Page List'!A2:A79)</f>
        <v>78</v>
      </c>
      <c r="F2" s="5" t="s">
        <v>470</v>
      </c>
    </row>
    <row r="3" customFormat="false" ht="15" hidden="false" customHeight="false" outlineLevel="0" collapsed="false">
      <c r="A3" s="5" t="s">
        <v>471</v>
      </c>
      <c r="B3" s="5" t="s">
        <v>472</v>
      </c>
      <c r="C3" s="5" t="s">
        <v>473</v>
      </c>
      <c r="D3" s="5" t="s">
        <v>474</v>
      </c>
      <c r="E3" s="5" t="n">
        <f aca="false">COUNTA('Page List'!A2:A79)</f>
        <v>78</v>
      </c>
      <c r="F3" s="5" t="s">
        <v>475</v>
      </c>
    </row>
    <row r="4" customFormat="false" ht="15" hidden="false" customHeight="false" outlineLevel="0" collapsed="false">
      <c r="A4" s="5" t="s">
        <v>476</v>
      </c>
      <c r="B4" s="5" t="s">
        <v>477</v>
      </c>
      <c r="C4" s="5" t="s">
        <v>478</v>
      </c>
      <c r="D4" s="5" t="s">
        <v>479</v>
      </c>
      <c r="E4" s="5" t="n">
        <f aca="false">COUNTA('Page List'!A2:A79)</f>
        <v>78</v>
      </c>
      <c r="F4" s="5" t="s">
        <v>475</v>
      </c>
    </row>
    <row r="5" customFormat="false" ht="15" hidden="false" customHeight="false" outlineLevel="0" collapsed="false">
      <c r="A5" s="5" t="s">
        <v>480</v>
      </c>
      <c r="B5" s="5" t="s">
        <v>481</v>
      </c>
      <c r="C5" s="5" t="s">
        <v>482</v>
      </c>
      <c r="D5" s="5" t="s">
        <v>483</v>
      </c>
      <c r="E5" s="5" t="n">
        <f aca="false">COUNTA('Page List'!A2:A79)</f>
        <v>78</v>
      </c>
      <c r="F5" s="5" t="s">
        <v>475</v>
      </c>
    </row>
    <row r="6" customFormat="false" ht="15" hidden="false" customHeight="false" outlineLevel="0" collapsed="false">
      <c r="A6" s="5" t="s">
        <v>484</v>
      </c>
      <c r="B6" s="5" t="s">
        <v>485</v>
      </c>
      <c r="C6" s="5" t="s">
        <v>486</v>
      </c>
      <c r="D6" s="5" t="s">
        <v>487</v>
      </c>
      <c r="E6" s="5" t="n">
        <f aca="false">COUNTA('Page List'!A2:A79)</f>
        <v>78</v>
      </c>
      <c r="F6" s="5" t="s">
        <v>475</v>
      </c>
    </row>
    <row r="7" customFormat="false" ht="15" hidden="false" customHeight="false" outlineLevel="0" collapsed="false">
      <c r="A7" s="5" t="s">
        <v>488</v>
      </c>
      <c r="B7" s="5" t="s">
        <v>489</v>
      </c>
      <c r="C7" s="5" t="s">
        <v>490</v>
      </c>
      <c r="D7" s="5" t="s">
        <v>491</v>
      </c>
      <c r="E7" s="5" t="n">
        <f aca="false">COUNTA('Page List'!A2:A79)</f>
        <v>78</v>
      </c>
      <c r="F7" s="5" t="s">
        <v>492</v>
      </c>
    </row>
    <row r="8" customFormat="false" ht="15" hidden="false" customHeight="false" outlineLevel="0" collapsed="false">
      <c r="A8" s="7" t="s">
        <v>493</v>
      </c>
      <c r="B8" s="2"/>
      <c r="C8" s="2"/>
      <c r="D8" s="2"/>
      <c r="E8" s="7" t="n">
        <f aca="false">SUM(E2:E7)</f>
        <v>468</v>
      </c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3" t="s">
        <v>494</v>
      </c>
      <c r="B10" s="2"/>
      <c r="C10" s="2"/>
      <c r="D10" s="2"/>
      <c r="E10" s="2"/>
      <c r="F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56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2" t="s">
        <v>495</v>
      </c>
      <c r="B1" s="12" t="s">
        <v>496</v>
      </c>
      <c r="C1" s="12" t="s">
        <v>497</v>
      </c>
      <c r="D1" s="12" t="s">
        <v>498</v>
      </c>
    </row>
    <row r="2" customFormat="false" ht="15" hidden="false" customHeight="false" outlineLevel="0" collapsed="false">
      <c r="A2" s="5" t="n">
        <v>1</v>
      </c>
      <c r="B2" s="5" t="s">
        <v>499</v>
      </c>
      <c r="C2" s="5" t="s">
        <v>112</v>
      </c>
      <c r="D2" s="5" t="s">
        <v>500</v>
      </c>
    </row>
    <row r="3" customFormat="false" ht="15" hidden="false" customHeight="false" outlineLevel="0" collapsed="false">
      <c r="A3" s="5" t="n">
        <v>2</v>
      </c>
      <c r="B3" s="5" t="s">
        <v>501</v>
      </c>
      <c r="C3" s="5" t="s">
        <v>118</v>
      </c>
      <c r="D3" s="5" t="s">
        <v>500</v>
      </c>
    </row>
    <row r="4" customFormat="false" ht="15" hidden="false" customHeight="false" outlineLevel="0" collapsed="false">
      <c r="A4" s="5" t="n">
        <v>3</v>
      </c>
      <c r="B4" s="5" t="s">
        <v>502</v>
      </c>
      <c r="C4" s="5" t="s">
        <v>126</v>
      </c>
      <c r="D4" s="5" t="s">
        <v>500</v>
      </c>
    </row>
    <row r="5" customFormat="false" ht="15" hidden="false" customHeight="false" outlineLevel="0" collapsed="false">
      <c r="A5" s="5" t="n">
        <v>4</v>
      </c>
      <c r="B5" s="5" t="s">
        <v>503</v>
      </c>
      <c r="C5" s="5" t="s">
        <v>134</v>
      </c>
      <c r="D5" s="5" t="s">
        <v>500</v>
      </c>
    </row>
    <row r="6" customFormat="false" ht="15" hidden="false" customHeight="false" outlineLevel="0" collapsed="false">
      <c r="A6" s="5" t="n">
        <v>5</v>
      </c>
      <c r="B6" s="5" t="s">
        <v>504</v>
      </c>
      <c r="C6" s="5" t="s">
        <v>142</v>
      </c>
      <c r="D6" s="5" t="s">
        <v>500</v>
      </c>
    </row>
    <row r="7" customFormat="false" ht="15" hidden="false" customHeight="false" outlineLevel="0" collapsed="false">
      <c r="A7" s="5" t="n">
        <v>6</v>
      </c>
      <c r="B7" s="5" t="s">
        <v>505</v>
      </c>
      <c r="C7" s="5" t="s">
        <v>146</v>
      </c>
      <c r="D7" s="5" t="s">
        <v>500</v>
      </c>
    </row>
    <row r="8" customFormat="false" ht="15" hidden="false" customHeight="false" outlineLevel="0" collapsed="false">
      <c r="A8" s="5" t="n">
        <v>7</v>
      </c>
      <c r="B8" s="5" t="s">
        <v>506</v>
      </c>
      <c r="C8" s="5" t="s">
        <v>166</v>
      </c>
      <c r="D8" s="5" t="s">
        <v>500</v>
      </c>
    </row>
    <row r="9" customFormat="false" ht="15" hidden="false" customHeight="false" outlineLevel="0" collapsed="false">
      <c r="A9" s="5" t="n">
        <v>8</v>
      </c>
      <c r="B9" s="5" t="s">
        <v>507</v>
      </c>
      <c r="C9" s="5" t="s">
        <v>154</v>
      </c>
      <c r="D9" s="5" t="s">
        <v>500</v>
      </c>
    </row>
    <row r="10" customFormat="false" ht="15" hidden="false" customHeight="false" outlineLevel="0" collapsed="false">
      <c r="A10" s="5" t="n">
        <v>9</v>
      </c>
      <c r="B10" s="5" t="s">
        <v>508</v>
      </c>
      <c r="C10" s="5" t="s">
        <v>182</v>
      </c>
      <c r="D10" s="5" t="s">
        <v>500</v>
      </c>
    </row>
    <row r="11" customFormat="false" ht="15" hidden="false" customHeight="false" outlineLevel="0" collapsed="false">
      <c r="A11" s="5" t="n">
        <v>10</v>
      </c>
      <c r="B11" s="5" t="s">
        <v>509</v>
      </c>
      <c r="C11" s="5" t="s">
        <v>229</v>
      </c>
      <c r="D11" s="5" t="s">
        <v>500</v>
      </c>
    </row>
    <row r="12" customFormat="false" ht="15" hidden="false" customHeight="false" outlineLevel="0" collapsed="false">
      <c r="A12" s="5" t="n">
        <v>11</v>
      </c>
      <c r="B12" s="5" t="s">
        <v>510</v>
      </c>
      <c r="C12" s="5" t="s">
        <v>225</v>
      </c>
      <c r="D12" s="5" t="s">
        <v>511</v>
      </c>
    </row>
    <row r="13" customFormat="false" ht="15" hidden="false" customHeight="false" outlineLevel="0" collapsed="false">
      <c r="A13" s="5" t="n">
        <v>12</v>
      </c>
      <c r="B13" s="5" t="s">
        <v>512</v>
      </c>
      <c r="C13" s="5" t="s">
        <v>186</v>
      </c>
      <c r="D13" s="5" t="s">
        <v>513</v>
      </c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3" t="s">
        <v>514</v>
      </c>
      <c r="B15" s="2"/>
      <c r="C15" s="2"/>
      <c r="D1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2026-10-15T08:47:57Z</dcterms:created>
  <dc:creator>openpyxl</dc:creator>
  <dc:description/>
  <dc:language>en-US</dc:language>
  <cp:lastModifiedBy/>
  <dcterms:modified xsi:type="dcterms:W3CDTF">2026-10-15T08:47:57Z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